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 Routine" sheetId="1" r:id="rId5"/>
    <sheet state="visible" name="Workout Log" sheetId="2" r:id="rId6"/>
    <sheet state="visible" name="Hans Workout Form" sheetId="3" r:id="rId7"/>
    <sheet state="visible" name="Lil Babys Workout Form" sheetId="4" r:id="rId8"/>
    <sheet state="visible" name="Users" sheetId="5" r:id="rId9"/>
    <sheet state="visible" name="Exercises_Master" sheetId="6" r:id="rId10"/>
    <sheet state="visible" name="Workout_Logs" sheetId="7" r:id="rId11"/>
  </sheets>
  <definedNames/>
  <calcPr/>
</workbook>
</file>

<file path=xl/sharedStrings.xml><?xml version="1.0" encoding="utf-8"?>
<sst xmlns="http://schemas.openxmlformats.org/spreadsheetml/2006/main" count="1132" uniqueCount="307">
  <si>
    <t>Session Exercises</t>
  </si>
  <si>
    <t>🏋️ DAILY WORKOUT LOG</t>
  </si>
  <si>
    <t>TOTAL SESSIONS</t>
  </si>
  <si>
    <t>📝 WORKOUT LOG ENTRY FORM</t>
  </si>
  <si>
    <t>🏋️ GRIT FITNESS WORKOUT TRACKER</t>
  </si>
  <si>
    <t>TOTAL VOLUME</t>
  </si>
  <si>
    <t>🐼 BABYY WORKOUT LOG ENTRY FORM</t>
  </si>
  <si>
    <t>LAST WORKOUT</t>
  </si>
  <si>
    <t>Daily Gym Activity &amp; Resistance Training History</t>
  </si>
  <si>
    <t>TOTAL EXERCISES</t>
  </si>
  <si>
    <t>WORKOUT PROGRESS</t>
  </si>
  <si>
    <t>EXERCISE STATUS</t>
  </si>
  <si>
    <t>⚙️ EXERCISE MANAGER (CRUD)</t>
  </si>
  <si>
    <t>4-Week Routine &amp; Weight Progression Tracker</t>
  </si>
  <si>
    <t>4 Sessions</t>
  </si>
  <si>
    <t>Quick Log Gym Activity &amp; Set History</t>
  </si>
  <si>
    <t>Quick Log Gym Activity &amp; Set History for Partner</t>
  </si>
  <si>
    <t>Athlete</t>
  </si>
  <si>
    <t>Incline Press Machine</t>
  </si>
  <si>
    <t>👤 Athlete</t>
  </si>
  <si>
    <t>Date</t>
  </si>
  <si>
    <t>Day / Session</t>
  </si>
  <si>
    <t>Exercise</t>
  </si>
  <si>
    <t>Set</t>
  </si>
  <si>
    <t>Weight (kg)</t>
  </si>
  <si>
    <t>Cute lil baby</t>
  </si>
  <si>
    <t>Reps</t>
  </si>
  <si>
    <t>Total Volume (kg)</t>
  </si>
  <si>
    <t>Hans</t>
  </si>
  <si>
    <t>Profile</t>
  </si>
  <si>
    <t>Partner Athlete (Consolidated Log)</t>
  </si>
  <si>
    <t>Hans Aufa (Primary Athlete)</t>
  </si>
  <si>
    <t>Flat Bench Press</t>
  </si>
  <si>
    <t>Selasa • Full Body</t>
  </si>
  <si>
    <t>📅 Date</t>
  </si>
  <si>
    <t>Bench Press</t>
  </si>
  <si>
    <t>Tgt Reps</t>
  </si>
  <si>
    <t>Lateral Raise</t>
  </si>
  <si>
    <t>Manage Routine Exercises • Add, Modify, or Remove Movements</t>
  </si>
  <si>
    <t>🏋️ Session</t>
  </si>
  <si>
    <t>Thursday • Push Day</t>
  </si>
  <si>
    <t>✓</t>
  </si>
  <si>
    <t>Muscle</t>
  </si>
  <si>
    <t>Wide Grip Lat Pulldown</t>
  </si>
  <si>
    <t>No</t>
  </si>
  <si>
    <t>Phase / Exercise</t>
  </si>
  <si>
    <t>Target Muscle</t>
  </si>
  <si>
    <t>Target Reps</t>
  </si>
  <si>
    <t>Week 1 (Kg)</t>
  </si>
  <si>
    <t>Overhead Triceps Extension</t>
  </si>
  <si>
    <t>Week 2 (Kg)</t>
  </si>
  <si>
    <t>Week 3 (Kg)</t>
  </si>
  <si>
    <t>Week 4 (Kg)</t>
  </si>
  <si>
    <t>🎯 Exercise</t>
  </si>
  <si>
    <t>Weight Trend</t>
  </si>
  <si>
    <t>Equipment &amp; Visual Guide</t>
  </si>
  <si>
    <t>Status</t>
  </si>
  <si>
    <t>⚡ Action</t>
  </si>
  <si>
    <t>Dumbbell Shoulder Press</t>
  </si>
  <si>
    <t>Triceps Pushdown</t>
  </si>
  <si>
    <t>Tgt Wt</t>
  </si>
  <si>
    <t>➕ ADD NEW EXERCISE</t>
  </si>
  <si>
    <t>Biceps Curl</t>
  </si>
  <si>
    <t>🔥 TUESDAY • HEAVY FULL BODY (9 Exercises)</t>
  </si>
  <si>
    <t>📋 Notes</t>
  </si>
  <si>
    <t>Focus on form and controlled tempo</t>
  </si>
  <si>
    <t>Total Vol</t>
  </si>
  <si>
    <t>Focus on form and full contraction</t>
  </si>
  <si>
    <t>Partner</t>
  </si>
  <si>
    <t>📅 Target Session</t>
  </si>
  <si>
    <t>Cardio (Incline Walk/Cycling)</t>
  </si>
  <si>
    <t>Friday • Pull Day</t>
  </si>
  <si>
    <t>Custom Exercise Slot (Push Day)</t>
  </si>
  <si>
    <t>⚡ PARTNER WORKOUT SET DETAILS (SET 1 - 5)</t>
  </si>
  <si>
    <t>⚡ WORKOUT SET DETAILS (SET 1 - 5)</t>
  </si>
  <si>
    <t>Warm-up</t>
  </si>
  <si>
    <t>Wt (kg)</t>
  </si>
  <si>
    <t>Vol (kg)</t>
  </si>
  <si>
    <t>Full Body</t>
  </si>
  <si>
    <t>Est. 1RM</t>
  </si>
  <si>
    <t>-</t>
  </si>
  <si>
    <t>Set 1</t>
  </si>
  <si>
    <t>300 kg</t>
  </si>
  <si>
    <t>360 kg</t>
  </si>
  <si>
    <t>Active</t>
  </si>
  <si>
    <t>🎯 Exercise Name</t>
  </si>
  <si>
    <t>Straight Arm Pulldown</t>
  </si>
  <si>
    <t>Set 2</t>
  </si>
  <si>
    <t>Seated Cable Row / T-Bar</t>
  </si>
  <si>
    <t>250 kg</t>
  </si>
  <si>
    <t>Chest (Overall)</t>
  </si>
  <si>
    <t>Set 3</t>
  </si>
  <si>
    <t>4 x 12</t>
  </si>
  <si>
    <t>Set 4</t>
  </si>
  <si>
    <t>100 kg</t>
  </si>
  <si>
    <t>Set 5</t>
  </si>
  <si>
    <t>Jumat • Pull Day</t>
  </si>
  <si>
    <t>TOTAL</t>
  </si>
  <si>
    <t>💪 Target Muscle</t>
  </si>
  <si>
    <t>Avg Wt:</t>
  </si>
  <si>
    <t>Underhand Lat Pulldown</t>
  </si>
  <si>
    <t>Upper Back / Lats</t>
  </si>
  <si>
    <t>375 kg</t>
  </si>
  <si>
    <t>120 kg</t>
  </si>
  <si>
    <t>🔢 Target Reps</t>
  </si>
  <si>
    <t>🚀 SAVE LOG TO DATABASE</t>
  </si>
  <si>
    <t>3 x 15</t>
  </si>
  <si>
    <t>150 kg</t>
  </si>
  <si>
    <t>30 kg</t>
  </si>
  <si>
    <t>Anterior &amp; Lateral Delts</t>
  </si>
  <si>
    <t>37.5 kg</t>
  </si>
  <si>
    <t>Action: Save to 'Workout Log'</t>
  </si>
  <si>
    <t>60 kg</t>
  </si>
  <si>
    <t>🏋️ Equipment Guide</t>
  </si>
  <si>
    <t>💡 Tip: Check box E18 to confirm entry</t>
  </si>
  <si>
    <t>Hammer Curl</t>
  </si>
  <si>
    <t>📋 PARTNER LOG ROW PREVIEW (SET BREAKDOWN)</t>
  </si>
  <si>
    <t>Biceps Peak</t>
  </si>
  <si>
    <t>3x 15</t>
  </si>
  <si>
    <t>Weight</t>
  </si>
  <si>
    <t>Volume</t>
  </si>
  <si>
    <t>🏷️ Initial Status</t>
  </si>
  <si>
    <t>Regular / Goblet Squats</t>
  </si>
  <si>
    <t>Quadriceps &amp; Core</t>
  </si>
  <si>
    <t>Face Pulls / Rear Delt Fly</t>
  </si>
  <si>
    <t>240 kg</t>
  </si>
  <si>
    <t>🚀 Commit Action</t>
  </si>
  <si>
    <t>Saturday • Leg Day</t>
  </si>
  <si>
    <t>Romanian Deadlift</t>
  </si>
  <si>
    <t>☑️ Check to Confirm &amp; Apply</t>
  </si>
  <si>
    <t>90 kg</t>
  </si>
  <si>
    <t>Prone Leg Curl Machine</t>
  </si>
  <si>
    <t>Hamstrings</t>
  </si>
  <si>
    <t>Barbbell Squat</t>
  </si>
  <si>
    <t>✅ Latihan Berhasil Ditambahkan!</t>
  </si>
  <si>
    <t>Sit-Ups</t>
  </si>
  <si>
    <t>Abs / Core</t>
  </si>
  <si>
    <t>Standing Calf Raise Machine</t>
  </si>
  <si>
    <t>600 kg</t>
  </si>
  <si>
    <t>📋 LOG ROW PREVIEW (SET BREAKDOWN)</t>
  </si>
  <si>
    <t>ℹ️ Quick Guide: Add stages a new movement, Edit modifies target specs, Delete archives movement.</t>
  </si>
  <si>
    <t>Tuesday • Full Body</t>
  </si>
  <si>
    <t>Cardio (Incline Walk / Cycling)</t>
  </si>
  <si>
    <t>Cardio / Conditioning</t>
  </si>
  <si>
    <t>30 mins</t>
  </si>
  <si>
    <t>112.5 kg</t>
  </si>
  <si>
    <t>Plank</t>
  </si>
  <si>
    <t>270 kg</t>
  </si>
  <si>
    <t>1 min</t>
  </si>
  <si>
    <t>180 kg</t>
  </si>
  <si>
    <t>⚡ THURSDAY • PUSH DAY (7 Exercises)</t>
  </si>
  <si>
    <t>User_ID</t>
  </si>
  <si>
    <t>Name</t>
  </si>
  <si>
    <t>Profile_Type</t>
  </si>
  <si>
    <t>USR-001</t>
  </si>
  <si>
    <t>USR-002</t>
  </si>
  <si>
    <t>Exercise_ID</t>
  </si>
  <si>
    <t>Session_Day</t>
  </si>
  <si>
    <t>Exercise_Name</t>
  </si>
  <si>
    <t>Target_Muscle</t>
  </si>
  <si>
    <t>Target_Reps</t>
  </si>
  <si>
    <t>Equipment</t>
  </si>
  <si>
    <t>EXE-001</t>
  </si>
  <si>
    <t>Tuesday • Heavy Full Body</t>
  </si>
  <si>
    <t>Dynamic Mat</t>
  </si>
  <si>
    <t>Upper Chest</t>
  </si>
  <si>
    <t>EXE-002</t>
  </si>
  <si>
    <t>3x 12</t>
  </si>
  <si>
    <t>Barbell &amp; Bench</t>
  </si>
  <si>
    <t>22.5 kg</t>
  </si>
  <si>
    <t>EXE-003</t>
  </si>
  <si>
    <t>Cable Pulldown</t>
  </si>
  <si>
    <t>EXE-004</t>
  </si>
  <si>
    <t>Dumbbells</t>
  </si>
  <si>
    <t>EXE-005</t>
  </si>
  <si>
    <t>3x 10</t>
  </si>
  <si>
    <t>EXE-006</t>
  </si>
  <si>
    <t>Kettlebell / DB</t>
  </si>
  <si>
    <t>EXE-007</t>
  </si>
  <si>
    <t>Leg Curl Machine</t>
  </si>
  <si>
    <t>EXE-008</t>
  </si>
  <si>
    <t>Exercise Mat</t>
  </si>
  <si>
    <t>EXE-009</t>
  </si>
  <si>
    <t>Treadmill / Bike</t>
  </si>
  <si>
    <t>Mid &amp; Lower Chest</t>
  </si>
  <si>
    <t>EXE-010</t>
  </si>
  <si>
    <t>15 kg</t>
  </si>
  <si>
    <t>Custom Exercise Slot (Tuesday)</t>
  </si>
  <si>
    <t>Custom Equipment</t>
  </si>
  <si>
    <t>EXE-011</t>
  </si>
  <si>
    <t>EXE-012</t>
  </si>
  <si>
    <t>4x 10</t>
  </si>
  <si>
    <t>Incline Machine</t>
  </si>
  <si>
    <t>EXE-013</t>
  </si>
  <si>
    <t>Barbell / Bench</t>
  </si>
  <si>
    <t>EXE-014</t>
  </si>
  <si>
    <t>Side Delts</t>
  </si>
  <si>
    <t>4x 12</t>
  </si>
  <si>
    <t>EXE-015</t>
  </si>
  <si>
    <t>Triceps Long Head</t>
  </si>
  <si>
    <t>Dumbbell / Bench</t>
  </si>
  <si>
    <t>EXE-016</t>
  </si>
  <si>
    <t>Triceps Lateral Head</t>
  </si>
  <si>
    <t>Cable Tower</t>
  </si>
  <si>
    <t>EXE-017</t>
  </si>
  <si>
    <t>Cardio (Elliptical)</t>
  </si>
  <si>
    <t>20 mins</t>
  </si>
  <si>
    <t>Elliptical</t>
  </si>
  <si>
    <t>12 kg</t>
  </si>
  <si>
    <t>EXE-018</t>
  </si>
  <si>
    <t>Log_ID</t>
  </si>
  <si>
    <t>EXE-019</t>
  </si>
  <si>
    <t>Set_Number</t>
  </si>
  <si>
    <t>Weight_kg</t>
  </si>
  <si>
    <t>Volume_kg</t>
  </si>
  <si>
    <t>EXE-020</t>
  </si>
  <si>
    <t>Est_1RM</t>
  </si>
  <si>
    <t>Notes</t>
  </si>
  <si>
    <t>Mid-Back Thickness</t>
  </si>
  <si>
    <t>Seated Cable Row</t>
  </si>
  <si>
    <t>LOG-001</t>
  </si>
  <si>
    <t>EXE-021</t>
  </si>
  <si>
    <t>Lower Lats</t>
  </si>
  <si>
    <t>EXE-022</t>
  </si>
  <si>
    <t>Rear Delts</t>
  </si>
  <si>
    <t>Rear Delt Fly Machine</t>
  </si>
  <si>
    <t>EXE-023</t>
  </si>
  <si>
    <t>LOG-002</t>
  </si>
  <si>
    <t>EXE-024</t>
  </si>
  <si>
    <t>Brachialis &amp; Forearms</t>
  </si>
  <si>
    <t>LOG-003</t>
  </si>
  <si>
    <t>EXE-025</t>
  </si>
  <si>
    <t>Cardio (Treadmill / Cycling)</t>
  </si>
  <si>
    <t>LOG-004</t>
  </si>
  <si>
    <t>EXE-026</t>
  </si>
  <si>
    <t>Custom Exercise Slot (Pull Day)</t>
  </si>
  <si>
    <t>LOG-005</t>
  </si>
  <si>
    <t>EXE-027</t>
  </si>
  <si>
    <t>EXE-028</t>
  </si>
  <si>
    <t>LOG-006</t>
  </si>
  <si>
    <t>Leg Press Machine</t>
  </si>
  <si>
    <t>Quads &amp; Glutes</t>
  </si>
  <si>
    <t>45° Leg Press</t>
  </si>
  <si>
    <t>EXE-029</t>
  </si>
  <si>
    <t>Hamstrings &amp; Glutes</t>
  </si>
  <si>
    <t>LOG-007</t>
  </si>
  <si>
    <t>Barbell / DB</t>
  </si>
  <si>
    <t>EXE-030</t>
  </si>
  <si>
    <t>Hamstrings (Isolation)</t>
  </si>
  <si>
    <t>LOG-008</t>
  </si>
  <si>
    <t>EXE-031</t>
  </si>
  <si>
    <t>Seated Calf Raise Machine</t>
  </si>
  <si>
    <t>Calves</t>
  </si>
  <si>
    <t>4x 15</t>
  </si>
  <si>
    <t>Calf Machine</t>
  </si>
  <si>
    <t>EXE-032</t>
  </si>
  <si>
    <t>LOG-009</t>
  </si>
  <si>
    <t>Cardio (Brisk Walk)</t>
  </si>
  <si>
    <t>Treadmill / Track</t>
  </si>
  <si>
    <t>EXE-033</t>
  </si>
  <si>
    <t>LOG-010</t>
  </si>
  <si>
    <t>Custom Exercise Slot (Leg Day)</t>
  </si>
  <si>
    <t>LOG-011</t>
  </si>
  <si>
    <t>LOG-012</t>
  </si>
  <si>
    <t>LOG-013</t>
  </si>
  <si>
    <t>225 kg</t>
  </si>
  <si>
    <t>LOG-014</t>
  </si>
  <si>
    <t>LOG-015</t>
  </si>
  <si>
    <t>LOG-016</t>
  </si>
  <si>
    <t>LOG-017</t>
  </si>
  <si>
    <t>75 kg</t>
  </si>
  <si>
    <t>LOG-018</t>
  </si>
  <si>
    <t>LOG-019</t>
  </si>
  <si>
    <t>LOG-020</t>
  </si>
  <si>
    <t>LOG-021</t>
  </si>
  <si>
    <t>LOG-022</t>
  </si>
  <si>
    <t>LOG-023</t>
  </si>
  <si>
    <t>LOG-024</t>
  </si>
  <si>
    <t>💪 FRIDAY • PULL DAY (7 Exercises)</t>
  </si>
  <si>
    <t>LOG-025</t>
  </si>
  <si>
    <t>LOG-026</t>
  </si>
  <si>
    <t>LOG-027</t>
  </si>
  <si>
    <t>LOG-028</t>
  </si>
  <si>
    <t>LOG-029</t>
  </si>
  <si>
    <t>LOG-030</t>
  </si>
  <si>
    <t>LOG-031</t>
  </si>
  <si>
    <t>LOG-032</t>
  </si>
  <si>
    <t>LOG-033</t>
  </si>
  <si>
    <t>LOG-034</t>
  </si>
  <si>
    <t>LOG-035</t>
  </si>
  <si>
    <t>LOG-036</t>
  </si>
  <si>
    <t>LOG-037</t>
  </si>
  <si>
    <t>LOG-038</t>
  </si>
  <si>
    <t>LOG-039</t>
  </si>
  <si>
    <t>LOG-040</t>
  </si>
  <si>
    <t>LOG-041</t>
  </si>
  <si>
    <t>LOG-042</t>
  </si>
  <si>
    <t>LOG-043</t>
  </si>
  <si>
    <t>LOG-044</t>
  </si>
  <si>
    <t>LOG-045</t>
  </si>
  <si>
    <t>LOG-046</t>
  </si>
  <si>
    <t>LOG-047</t>
  </si>
  <si>
    <t>LOG-048</t>
  </si>
  <si>
    <t>🦵 SATURDAY • LEG DAY (6 Exercises)</t>
  </si>
  <si>
    <t>Glutes, Harmstring, Calves</t>
  </si>
  <si>
    <t>4 x 15</t>
  </si>
  <si>
    <t>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</si>
</sst>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 &quot;kg&quot;"/>
    <numFmt numFmtId="165" formatCode="yyyy-mm-dd"/>
    <numFmt numFmtId="166" formatCode="#,##0.0"/>
    <numFmt numFmtId="167" formatCode="#,##0&quot; kg&quot;"/>
    <numFmt numFmtId="168" formatCode="#,##0.#"/>
    <numFmt numFmtId="169" formatCode="#,##0.0&quot; kg&quot;"/>
    <numFmt numFmtId="170" formatCode="0.0 &quot;kg&quot;"/>
    <numFmt numFmtId="171" formatCode="0.0"/>
  </numFmts>
  <fonts count="66">
    <font>
      <sz val="10.0"/>
      <color rgb="FF000000"/>
      <name val="Arial"/>
      <scheme val="minor"/>
    </font>
    <font>
      <b/>
      <sz val="12.0"/>
      <color rgb="FF171B1E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b/>
      <sz val="8.0"/>
      <color rgb="FF3C4556"/>
      <name val="Arial"/>
      <scheme val="minor"/>
    </font>
    <font/>
    <font>
      <b/>
      <sz val="13.0"/>
      <color rgb="FF1E283A"/>
      <name val="Google Sans"/>
    </font>
    <font>
      <b/>
      <sz val="9.0"/>
      <color rgb="FF1E3989"/>
      <name val="Arial"/>
      <scheme val="minor"/>
    </font>
    <font>
      <b/>
      <sz val="8.0"/>
      <color rgb="FF74777E"/>
      <name val="Google Sans"/>
    </font>
    <font>
      <sz val="9.0"/>
      <color rgb="FF73767D"/>
      <name val="Arial"/>
      <scheme val="minor"/>
    </font>
    <font>
      <b/>
      <sz val="9.0"/>
      <color rgb="FFFFFFFF"/>
      <name val="Arial"/>
      <scheme val="minor"/>
    </font>
    <font>
      <b/>
      <sz val="8.0"/>
      <color rgb="FF3D4657"/>
      <name val="Google Sans"/>
    </font>
    <font>
      <b/>
      <sz val="8.0"/>
      <color rgb="FF74777D"/>
      <name val="Google Sans"/>
    </font>
    <font>
      <b/>
      <sz val="11.0"/>
      <color rgb="FF171B1E"/>
      <name val="Arial"/>
      <scheme val="minor"/>
    </font>
    <font>
      <b/>
      <sz val="11.0"/>
      <color rgb="FFFFFFFF"/>
      <name val="Google Sans"/>
    </font>
    <font>
      <sz val="9.0"/>
      <color rgb="FF74777E"/>
      <name val="Roboto"/>
    </font>
    <font>
      <b/>
      <sz val="11.0"/>
      <color rgb="FF181C1F"/>
      <name val="Google Sans"/>
    </font>
    <font>
      <color theme="1"/>
      <name val="Arial"/>
      <scheme val="minor"/>
    </font>
    <font>
      <i/>
      <sz val="8.0"/>
      <color rgb="FFFCE8ED"/>
      <name val="Arial"/>
      <scheme val="minor"/>
    </font>
    <font>
      <i/>
      <sz val="8.0"/>
      <color rgb="FFD1E0FF"/>
      <name val="Arial"/>
      <scheme val="minor"/>
    </font>
    <font>
      <b/>
      <sz val="10.0"/>
      <color rgb="FFFFFFFF"/>
      <name val="Arial"/>
      <scheme val="minor"/>
    </font>
    <font>
      <b/>
      <sz val="11.0"/>
      <color rgb="FF1E3989"/>
      <name val="Arial"/>
      <scheme val="minor"/>
    </font>
    <font>
      <b/>
      <sz val="9.0"/>
      <color rgb="FF8D485A"/>
      <name val="Arial"/>
      <scheme val="minor"/>
    </font>
    <font>
      <b/>
      <sz val="9.0"/>
      <color rgb="FF1D3889"/>
      <name val="Arial"/>
      <scheme val="minor"/>
    </font>
    <font>
      <sz val="9.0"/>
      <color rgb="FF1E2838"/>
      <name val="Arial"/>
      <scheme val="minor"/>
    </font>
    <font>
      <sz val="10.0"/>
      <color theme="1"/>
      <name val="Arial"/>
      <scheme val="minor"/>
    </font>
    <font>
      <b/>
      <sz val="8.0"/>
      <color rgb="FF8D485A"/>
      <name val="Arial"/>
      <scheme val="minor"/>
    </font>
    <font>
      <sz val="9.0"/>
      <color rgb="FF383F51"/>
      <name val="Arial"/>
      <scheme val="minor"/>
    </font>
    <font>
      <b/>
      <sz val="8.0"/>
      <color rgb="FF1D3889"/>
      <name val="Arial"/>
      <scheme val="minor"/>
    </font>
    <font>
      <b/>
      <sz val="10.0"/>
      <color rgb="FF1E3988"/>
      <name val="Arial"/>
      <scheme val="minor"/>
    </font>
    <font>
      <b/>
      <sz val="11.0"/>
      <color rgb="FF2659A5"/>
      <name val="Google Sans"/>
    </font>
    <font>
      <b/>
      <sz val="10.0"/>
      <color rgb="FF171C1F"/>
      <name val="Google Sans"/>
    </font>
    <font>
      <b/>
      <sz val="10.0"/>
      <color rgb="FF1E3A89"/>
      <name val="Arial"/>
      <scheme val="minor"/>
    </font>
    <font>
      <sz val="9.0"/>
      <color rgb="FF234677"/>
      <name val="Google Sans"/>
    </font>
    <font>
      <b/>
      <sz val="10.0"/>
      <color rgb="FFFFFFFF"/>
      <name val="Google Sans"/>
    </font>
    <font>
      <sz val="10.0"/>
      <color rgb="FF333333"/>
      <name val="Arial"/>
      <scheme val="minor"/>
    </font>
    <font>
      <sz val="10.0"/>
      <color rgb="FFFFFFFF"/>
      <name val="Arial"/>
      <scheme val="minor"/>
    </font>
    <font>
      <b/>
      <sz val="9.0"/>
      <color rgb="FF193366"/>
      <name val="Google Sans"/>
    </font>
    <font>
      <sz val="9.0"/>
      <color rgb="FF262626"/>
      <name val="Google Sans"/>
    </font>
    <font>
      <b/>
      <sz val="10.0"/>
      <color rgb="FF244677"/>
      <name val="Google Sans"/>
    </font>
    <font>
      <sz val="10.0"/>
      <color rgb="FF181B20"/>
      <name val="Roboto"/>
    </font>
    <font>
      <b/>
      <sz val="10.0"/>
      <color rgb="FF74777E"/>
      <name val="Google Sans"/>
    </font>
    <font>
      <b/>
      <sz val="10.0"/>
      <color rgb="FF181C1F"/>
      <name val="Google Sans"/>
    </font>
    <font>
      <sz val="9.0"/>
      <color rgb="FF596070"/>
      <name val="Roboto"/>
    </font>
    <font>
      <b/>
      <sz val="9.0"/>
      <color rgb="FF1E2838"/>
      <name val="Arial"/>
      <scheme val="minor"/>
    </font>
    <font>
      <b/>
      <sz val="10.0"/>
      <color rgb="FF26334C"/>
      <name val="Roboto"/>
    </font>
    <font>
      <b/>
      <sz val="10.0"/>
      <color theme="1"/>
      <name val="Arial"/>
      <scheme val="minor"/>
    </font>
    <font>
      <b/>
      <sz val="10.0"/>
      <color rgb="FF14264C"/>
      <name val="Google Sans"/>
    </font>
    <font>
      <sz val="9.0"/>
      <color theme="1"/>
      <name val="Arial"/>
      <scheme val="minor"/>
    </font>
    <font>
      <sz val="9.0"/>
      <color rgb="FF244677"/>
      <name val="Google Sans"/>
    </font>
    <font>
      <sz val="10.0"/>
      <color theme="1"/>
      <name val="Google Sans"/>
    </font>
    <font>
      <b/>
      <sz val="9.0"/>
      <color theme="1"/>
      <name val="Arial"/>
      <scheme val="minor"/>
    </font>
    <font>
      <b/>
      <color rgb="FFFFFFFF"/>
      <name val="Arial"/>
      <scheme val="minor"/>
    </font>
    <font>
      <b/>
      <sz val="9.0"/>
      <color rgb="FF156434"/>
      <name val="Arial"/>
      <scheme val="minor"/>
    </font>
    <font>
      <sz val="8.0"/>
      <color rgb="FF8D485A"/>
      <name val="Arial"/>
      <scheme val="minor"/>
    </font>
    <font>
      <b/>
      <color rgb="FF263F66"/>
      <name val="Arial"/>
      <scheme val="minor"/>
    </font>
    <font>
      <sz val="9.0"/>
      <color rgb="FFFFFFFF"/>
      <name val="Arial"/>
      <scheme val="minor"/>
    </font>
    <font>
      <b/>
      <sz val="10.0"/>
      <color rgb="FF156434"/>
      <name val="Arial"/>
      <scheme val="minor"/>
    </font>
    <font>
      <sz val="8.0"/>
      <color rgb="FF63728C"/>
      <name val="Arial"/>
      <scheme val="minor"/>
    </font>
    <font>
      <i/>
      <sz val="9.0"/>
      <color rgb="FF156434"/>
      <name val="Arial"/>
      <scheme val="minor"/>
    </font>
    <font>
      <b/>
      <sz val="9.0"/>
      <color rgb="FF117233"/>
      <name val="Google Sans"/>
    </font>
    <font>
      <sz val="8.0"/>
      <color rgb="FF666666"/>
      <name val="Google Sans"/>
    </font>
    <font>
      <b/>
      <sz val="9.0"/>
      <color rgb="FF234677"/>
      <name val="Google Sans"/>
    </font>
    <font>
      <b/>
      <color theme="1"/>
      <name val="Arial"/>
      <scheme val="minor"/>
    </font>
    <font>
      <u/>
      <sz val="9.0"/>
      <color rgb="FF244677"/>
      <name val="Google Sans"/>
    </font>
    <font>
      <u/>
      <sz val="9.0"/>
      <color rgb="FF244677"/>
      <name val="Google San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D3889"/>
        <bgColor rgb="FF1D3889"/>
      </patternFill>
    </fill>
    <fill>
      <patternFill patternType="solid">
        <fgColor rgb="FFD8E1F7"/>
        <bgColor rgb="FFD8E1F7"/>
      </patternFill>
    </fill>
    <fill>
      <patternFill patternType="solid">
        <fgColor rgb="FFECECF4"/>
        <bgColor rgb="FFECECF4"/>
      </patternFill>
    </fill>
    <fill>
      <patternFill patternType="solid">
        <fgColor rgb="FF8D485A"/>
        <bgColor rgb="FF8D485A"/>
      </patternFill>
    </fill>
    <fill>
      <patternFill patternType="solid">
        <fgColor rgb="FFD9E2F8"/>
        <bgColor rgb="FFD9E2F8"/>
      </patternFill>
    </fill>
    <fill>
      <patternFill patternType="solid">
        <fgColor rgb="FFEBEBF4"/>
        <bgColor rgb="FFEBEBF4"/>
      </patternFill>
    </fill>
    <fill>
      <patternFill patternType="solid">
        <fgColor rgb="FF234677"/>
        <bgColor rgb="FF234677"/>
      </patternFill>
    </fill>
    <fill>
      <patternFill patternType="solid">
        <fgColor rgb="FF2A4A7C"/>
        <bgColor rgb="FF2A4A7C"/>
      </patternFill>
    </fill>
    <fill>
      <patternFill patternType="solid">
        <fgColor rgb="FFFCF1F4"/>
        <bgColor rgb="FFFCF1F4"/>
      </patternFill>
    </fill>
    <fill>
      <patternFill patternType="solid">
        <fgColor rgb="FFEDF1FF"/>
        <bgColor rgb="FFEDF1FF"/>
      </patternFill>
    </fill>
    <fill>
      <patternFill patternType="solid">
        <fgColor rgb="FFFFF7F9"/>
        <bgColor rgb="FFFFF7F9"/>
      </patternFill>
    </fill>
    <fill>
      <patternFill patternType="solid">
        <fgColor rgb="FFF7F9FC"/>
        <bgColor rgb="FFF7F9FC"/>
      </patternFill>
    </fill>
    <fill>
      <patternFill patternType="solid">
        <fgColor rgb="FFD9E1F8"/>
        <bgColor rgb="FFD9E1F8"/>
      </patternFill>
    </fill>
    <fill>
      <patternFill patternType="solid">
        <fgColor rgb="FF3E5F90"/>
        <bgColor rgb="FF3E5F90"/>
      </patternFill>
    </fill>
    <fill>
      <patternFill patternType="solid">
        <fgColor rgb="FFF3F6F9"/>
        <bgColor rgb="FFF3F6F9"/>
      </patternFill>
    </fill>
    <fill>
      <patternFill patternType="solid">
        <fgColor rgb="FFF7F9FF"/>
        <bgColor rgb="FFF7F9FF"/>
      </patternFill>
    </fill>
    <fill>
      <patternFill patternType="solid">
        <fgColor rgb="FFA65B6E"/>
        <bgColor rgb="FFA65B6E"/>
      </patternFill>
    </fill>
    <fill>
      <patternFill patternType="solid">
        <fgColor rgb="FF2D4F9E"/>
        <bgColor rgb="FF2D4F9E"/>
      </patternFill>
    </fill>
    <fill>
      <patternFill patternType="solid">
        <fgColor rgb="FFF2F4F9"/>
        <bgColor rgb="FFF2F4F9"/>
      </patternFill>
    </fill>
    <fill>
      <patternFill patternType="solid">
        <fgColor rgb="FFFBE7EB"/>
        <bgColor rgb="FFFBE7EB"/>
      </patternFill>
    </fill>
    <fill>
      <patternFill patternType="solid">
        <fgColor rgb="FFDCFBE7"/>
        <bgColor rgb="FFDCFBE7"/>
      </patternFill>
    </fill>
    <fill>
      <patternFill patternType="solid">
        <fgColor rgb="FFE0E8FF"/>
        <bgColor rgb="FFE0E8FF"/>
      </patternFill>
    </fill>
    <fill>
      <patternFill patternType="solid">
        <fgColor rgb="FFE5F4EA"/>
        <bgColor rgb="FFE5F4EA"/>
      </patternFill>
    </fill>
    <fill>
      <patternFill patternType="solid">
        <fgColor rgb="FFF9F9F9"/>
        <bgColor rgb="FFF9F9F9"/>
      </patternFill>
    </fill>
  </fills>
  <borders count="137">
    <border/>
    <border>
      <left style="thin">
        <color rgb="FF1D3889"/>
      </left>
      <top style="thin">
        <color rgb="FF1D3889"/>
      </top>
    </border>
    <border>
      <left style="thin">
        <color rgb="FFB6C3DA"/>
      </left>
      <top style="thin">
        <color rgb="FFB6C3DA"/>
      </top>
    </border>
    <border>
      <top style="thin">
        <color rgb="FF1D3889"/>
      </top>
    </border>
    <border>
      <right style="thin">
        <color rgb="FFB6C3DA"/>
      </right>
      <top style="thin">
        <color rgb="FFB6C3DA"/>
      </top>
    </border>
    <border>
      <right style="thin">
        <color rgb="FF1D3889"/>
      </right>
      <top style="thin">
        <color rgb="FF1D3889"/>
      </top>
    </border>
    <border>
      <left style="thin">
        <color rgb="FF8D485A"/>
      </left>
      <top style="thin">
        <color rgb="FF8D485A"/>
      </top>
    </border>
    <border>
      <top style="thin">
        <color rgb="FF8D485A"/>
      </top>
    </border>
    <border>
      <right style="thin">
        <color rgb="FF8D485A"/>
      </right>
      <top style="thin">
        <color rgb="FF8D485A"/>
      </top>
    </border>
    <border>
      <left style="thin">
        <color rgb="FFB6C3DA"/>
      </left>
      <bottom style="thin">
        <color rgb="FFB6C3DA"/>
      </bottom>
    </border>
    <border>
      <right style="thin">
        <color rgb="FFB7C4DB"/>
      </right>
      <bottom style="thin">
        <color rgb="FFB6C3DA"/>
      </bottom>
    </border>
    <border>
      <left style="thin">
        <color rgb="FF73777D"/>
      </left>
      <top style="thin">
        <color rgb="FF73777D"/>
      </top>
      <bottom style="thin">
        <color rgb="FF73777D"/>
      </bottom>
    </border>
    <border>
      <top style="thin">
        <color rgb="FF73777D"/>
      </top>
      <bottom style="thin">
        <color rgb="FF73777D"/>
      </bottom>
    </border>
    <border>
      <right style="thin">
        <color rgb="FF73777D"/>
      </right>
      <top style="thin">
        <color rgb="FF73777D"/>
      </top>
      <bottom style="thin">
        <color rgb="FF73777D"/>
      </bottom>
    </border>
    <border>
      <left style="thin">
        <color rgb="FF8D485A"/>
      </left>
    </border>
    <border>
      <left style="thin">
        <color rgb="FF1D3889"/>
      </left>
    </border>
    <border>
      <right style="thin">
        <color rgb="FF8D485A"/>
      </right>
    </border>
    <border>
      <right style="thin">
        <color rgb="FF1D3889"/>
      </right>
    </border>
    <border>
      <left style="thin">
        <color rgb="FFB6C3DA"/>
      </left>
      <right style="thin">
        <color rgb="FFECEEF3"/>
      </right>
      <top style="thin">
        <color rgb="FF3D5E8F"/>
      </top>
      <bottom style="thin">
        <color rgb="FFE0E7EE"/>
      </bottom>
    </border>
    <border>
      <left style="thin">
        <color rgb="FFF3C5D0"/>
      </left>
      <right style="thin">
        <color rgb="FFF4E5E5"/>
      </right>
      <top style="thin">
        <color rgb="FFF3C5D0"/>
      </top>
      <bottom style="thin">
        <color rgb="FFF4E0E5"/>
      </bottom>
    </border>
    <border>
      <left style="thin">
        <color rgb="FFCAD4E0"/>
      </left>
      <right style="thin">
        <color rgb="FFE0E8EF"/>
      </right>
      <top style="thin">
        <color rgb="FFCAD4E0"/>
      </top>
      <bottom style="thin">
        <color rgb="FFE0E8EF"/>
      </bottom>
    </border>
    <border>
      <left style="thin">
        <color rgb="FFF4E5E5"/>
      </left>
      <top style="thin">
        <color rgb="FFF3C5D0"/>
      </top>
      <bottom style="thin">
        <color rgb="FFF4E0E5"/>
      </bottom>
    </border>
    <border>
      <left style="thin">
        <color rgb="FFD7E4F1"/>
      </left>
      <right style="thin">
        <color rgb="FFD7E4F1"/>
      </right>
      <top style="thin">
        <color rgb="FFD7E4F1"/>
      </top>
      <bottom style="thin">
        <color rgb="FFD7E4F1"/>
      </bottom>
    </border>
    <border>
      <right style="thin">
        <color rgb="FFF4E5E5"/>
      </right>
      <top style="thin">
        <color rgb="FFF3C5D0"/>
      </top>
      <bottom style="thin">
        <color rgb="FFF4E0E5"/>
      </bottom>
    </border>
    <border>
      <left style="thin">
        <color rgb="FFD8E5F2"/>
      </left>
      <right style="thin">
        <color rgb="FFD8E5F2"/>
      </right>
      <top style="thin">
        <color rgb="FFD8E5F2"/>
      </top>
      <bottom style="thin">
        <color rgb="FFD8E5F2"/>
      </bottom>
    </border>
    <border>
      <left style="thin">
        <color rgb="FFF4E5E5"/>
      </left>
      <right style="thin">
        <color rgb="FFF4E5E5"/>
      </right>
      <top style="thin">
        <color rgb="FFF3C5D0"/>
      </top>
      <bottom style="thin">
        <color rgb="FFF4E0E5"/>
      </bottom>
    </border>
    <border>
      <left style="thin">
        <color rgb="FFE0E8EF"/>
      </left>
      <top style="thin">
        <color rgb="FFCAD4E0"/>
      </top>
      <bottom style="thin">
        <color rgb="FFE0E8EF"/>
      </bottom>
    </border>
    <border>
      <right style="thin">
        <color rgb="FFE0E8EF"/>
      </right>
      <top style="thin">
        <color rgb="FFCAD4E0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AD4E0"/>
      </top>
      <bottom style="thin">
        <color rgb="FFE0E8EF"/>
      </bottom>
    </border>
    <border>
      <right style="thin">
        <color rgb="FFF3C5D0"/>
      </right>
      <top style="thin">
        <color rgb="FFF3C5D0"/>
      </top>
      <bottom style="thin">
        <color rgb="FFF4E0E5"/>
      </bottom>
    </border>
    <border>
      <top style="thin">
        <color rgb="FFE4CCD2"/>
      </top>
      <bottom style="thin">
        <color rgb="FFE4CCD2"/>
      </bottom>
    </border>
    <border>
      <right style="thin">
        <color rgb="FFE4CCD2"/>
      </right>
      <top style="thin">
        <color rgb="FFE4CCD2"/>
      </top>
      <bottom style="thin">
        <color rgb="FFE4CCD2"/>
      </bottom>
    </border>
    <border>
      <right style="thin">
        <color rgb="FFCAD4E0"/>
      </right>
      <top style="thin">
        <color rgb="FFCAD4E0"/>
      </top>
      <bottom style="thin">
        <color rgb="FFE0E8EF"/>
      </bottom>
    </border>
    <border>
      <top style="thin">
        <color rgb="FFD7E4F1"/>
      </top>
      <bottom style="thin">
        <color rgb="FFD7E4F1"/>
      </bottom>
    </border>
    <border>
      <right style="thin">
        <color rgb="FFD7E4F1"/>
      </right>
      <top style="thin">
        <color rgb="FFD7E4F1"/>
      </top>
      <bottom style="thin">
        <color rgb="FFD7E4F1"/>
      </bottom>
    </border>
    <border>
      <left style="thin">
        <color rgb="FFF3C5D0"/>
      </left>
      <right style="thin">
        <color rgb="FFF4E5E5"/>
      </right>
      <top style="thin">
        <color rgb="FFF4E0E5"/>
      </top>
      <bottom style="thin">
        <color rgb="FFF4E0E5"/>
      </bottom>
    </border>
    <border>
      <left style="thin">
        <color rgb="FFCAD4E0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F4E5E5"/>
      </left>
      <top style="thin">
        <color rgb="FFF4E0E5"/>
      </top>
      <bottom style="thin">
        <color rgb="FFF4E0E5"/>
      </bottom>
    </border>
    <border>
      <right style="thin">
        <color rgb="FFF4E5E5"/>
      </right>
      <top style="thin">
        <color rgb="FFF4E0E5"/>
      </top>
      <bottom style="thin">
        <color rgb="FFF4E0E5"/>
      </bottom>
    </border>
    <border>
      <left style="thin">
        <color rgb="FFE0E8EF"/>
      </left>
      <top style="thin">
        <color rgb="FFE0E8EF"/>
      </top>
      <bottom style="thin">
        <color rgb="FFE0E8EF"/>
      </bottom>
    </border>
    <border>
      <left style="thin">
        <color rgb="FFF4E5E5"/>
      </left>
      <right style="thin">
        <color rgb="FFF4E5E5"/>
      </right>
      <top style="thin">
        <color rgb="FFF4E0E5"/>
      </top>
      <bottom style="thin">
        <color rgb="FFF4E0E5"/>
      </bottom>
    </border>
    <border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right style="thin">
        <color rgb="FFF3C5D0"/>
      </right>
      <top style="thin">
        <color rgb="FFF4E0E5"/>
      </top>
      <bottom style="thin">
        <color rgb="FFF4E0E5"/>
      </bottom>
    </border>
    <border>
      <right style="thin">
        <color rgb="FFCAD4E0"/>
      </right>
      <top style="thin">
        <color rgb="FFE0E8EF"/>
      </top>
      <bottom style="thin">
        <color rgb="FFE0E8EF"/>
      </bottom>
    </border>
    <border>
      <bottom style="thin">
        <color rgb="FFE5CCD3"/>
      </bottom>
    </border>
    <border>
      <bottom style="thin">
        <color rgb="FFD8E5F2"/>
      </bottom>
    </border>
    <border>
      <right style="thin">
        <color rgb="FFE5CCD3"/>
      </right>
      <bottom style="thin">
        <color rgb="FFE5CCD3"/>
      </bottom>
    </border>
    <border>
      <right style="thin">
        <color rgb="FFD8E5F2"/>
      </right>
      <bottom style="thin">
        <color rgb="FFD8E5F2"/>
      </bottom>
    </border>
    <border>
      <left style="thin">
        <color rgb="FF73777D"/>
      </left>
      <top style="thin">
        <color rgb="FFB2BCC6"/>
      </top>
      <bottom style="thin">
        <color rgb="FFB2BCC6"/>
      </bottom>
    </border>
    <border>
      <top style="thin">
        <color rgb="FFB2BCC6"/>
      </top>
      <bottom style="thin">
        <color rgb="FFB2BCC6"/>
      </bottom>
    </border>
    <border>
      <right style="thin">
        <color rgb="FF73777D"/>
      </right>
      <top style="thin">
        <color rgb="FFB2BCC6"/>
      </top>
      <bottom style="thin">
        <color rgb="FFB2BCC6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top style="thin">
        <color rgb="FFE5CCD3"/>
      </top>
      <bottom style="thin">
        <color rgb="FFE5CCD3"/>
      </bottom>
    </border>
    <border>
      <top style="thin">
        <color rgb="FFD8E5F2"/>
      </top>
      <bottom style="thin">
        <color rgb="FFD8E5F2"/>
      </bottom>
    </border>
    <border>
      <right style="thin">
        <color rgb="FFE5CCD3"/>
      </right>
      <top style="thin">
        <color rgb="FFE5CCD3"/>
      </top>
      <bottom style="thin">
        <color rgb="FFE5CCD3"/>
      </bottom>
    </border>
    <border>
      <right style="thin">
        <color rgb="FFD8E5F2"/>
      </right>
      <top style="thin">
        <color rgb="FFD8E5F2"/>
      </top>
      <bottom style="thin">
        <color rgb="FFD8E5F2"/>
      </bottom>
    </border>
    <border>
      <left style="thin">
        <color rgb="FF73777D"/>
      </left>
      <top style="thin">
        <color rgb="FFE1E1E1"/>
      </top>
      <bottom style="thin">
        <color rgb="FFE1E1E1"/>
      </bottom>
    </border>
    <border>
      <right style="thin">
        <color rgb="FFE1E1E1"/>
      </right>
      <top style="thin">
        <color rgb="FFE1E1E1"/>
      </top>
      <bottom style="thin">
        <color rgb="FFE1E1E1"/>
      </bottom>
    </border>
    <border>
      <left style="thin">
        <color rgb="FFE1E1E1"/>
      </left>
      <top style="thin">
        <color rgb="FFE1E1E1"/>
      </top>
      <bottom style="thin">
        <color rgb="FFE1E1E1"/>
      </bottom>
    </border>
    <border>
      <top style="thin">
        <color rgb="FFE1E1E1"/>
      </top>
      <bottom style="thin">
        <color rgb="FFE1E1E1"/>
      </bottom>
    </border>
    <border>
      <right style="thin">
        <color rgb="FF73777D"/>
      </right>
      <top style="thin">
        <color rgb="FFE1E1E1"/>
      </top>
      <bottom style="thin">
        <color rgb="FFE1E1E1"/>
      </bottom>
    </border>
    <border>
      <left style="thin">
        <color rgb="FF73777E"/>
      </left>
      <top style="thin">
        <color rgb="FF73777E"/>
      </top>
      <bottom style="thin">
        <color rgb="FFE2E6EB"/>
      </bottom>
    </border>
    <border>
      <left style="thin">
        <color rgb="FFF3C5D0"/>
      </left>
      <right style="thin">
        <color rgb="FFF4E5E5"/>
      </right>
      <top style="thin">
        <color rgb="FFF4E0E5"/>
      </top>
      <bottom style="thin">
        <color rgb="FFF3C5D0"/>
      </bottom>
    </border>
    <border>
      <top style="thin">
        <color rgb="FF73777E"/>
      </top>
      <bottom style="thin">
        <color rgb="FFE2E6EB"/>
      </bottom>
    </border>
    <border>
      <left style="thin">
        <color rgb="FFF4E5E5"/>
      </left>
      <top style="thin">
        <color rgb="FFF4E0E5"/>
      </top>
      <bottom style="thin">
        <color rgb="FFF3C5D0"/>
      </bottom>
    </border>
    <border>
      <right style="thin">
        <color rgb="FFF4E5E5"/>
      </right>
      <top style="thin">
        <color rgb="FFF4E0E5"/>
      </top>
      <bottom style="thin">
        <color rgb="FFF3C5D0"/>
      </bottom>
    </border>
    <border>
      <left style="thin">
        <color rgb="FFF4E5E5"/>
      </left>
      <right style="thin">
        <color rgb="FFF4E5E5"/>
      </right>
      <top style="thin">
        <color rgb="FFF4E0E5"/>
      </top>
      <bottom style="thin">
        <color rgb="FFF3C5D0"/>
      </bottom>
    </border>
    <border>
      <left style="thin">
        <color rgb="FFCAD4E0"/>
      </left>
      <right style="thin">
        <color rgb="FFE0E8EF"/>
      </right>
      <top style="thin">
        <color rgb="FFE0E8EF"/>
      </top>
      <bottom style="thin">
        <color rgb="FFCAD4E0"/>
      </bottom>
    </border>
    <border>
      <left style="thin">
        <color rgb="FFE0E8EF"/>
      </left>
      <top style="thin">
        <color rgb="FFE0E8EF"/>
      </top>
      <bottom style="thin">
        <color rgb="FFCAD4E0"/>
      </bottom>
    </border>
    <border>
      <right style="thin">
        <color rgb="FFE0E8EF"/>
      </right>
      <top style="thin">
        <color rgb="FFE0E8EF"/>
      </top>
      <bottom style="thin">
        <color rgb="FFCAD4E0"/>
      </bottom>
    </border>
    <border>
      <right style="thin">
        <color rgb="FFE2E6EB"/>
      </right>
      <top style="thin">
        <color rgb="FF73777E"/>
      </top>
      <bottom style="thin">
        <color rgb="FFE2E6EB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AD4E0"/>
      </bottom>
    </border>
    <border>
      <right style="thin">
        <color rgb="FFF3C5D0"/>
      </right>
      <top style="thin">
        <color rgb="FFF4E0E5"/>
      </top>
      <bottom style="thin">
        <color rgb="FFF3C5D0"/>
      </bottom>
    </border>
    <border>
      <right style="thin">
        <color rgb="FFCAD4E0"/>
      </right>
      <top style="thin">
        <color rgb="FFE0E8EF"/>
      </top>
      <bottom style="thin">
        <color rgb="FFCAD4E0"/>
      </bottom>
    </border>
    <border>
      <left style="thin">
        <color rgb="FF8D485A"/>
      </left>
      <top style="thin">
        <color rgb="FF8D485A"/>
      </top>
      <bottom style="thin">
        <color rgb="FFF4E0E5"/>
      </bottom>
    </border>
    <border>
      <top style="thin">
        <color rgb="FF8D485A"/>
      </top>
      <bottom style="thin">
        <color rgb="FFF4E0E5"/>
      </bottom>
    </border>
    <border>
      <right style="thin">
        <color rgb="FF8D485A"/>
      </right>
      <top style="thin">
        <color rgb="FF8D485A"/>
      </top>
      <bottom style="thin">
        <color rgb="FFF4E0E5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E2E6EB"/>
      </bottom>
    </border>
    <border>
      <left style="thin">
        <color rgb="FF1D3889"/>
      </left>
      <top style="thin">
        <color rgb="FF1D3889"/>
      </top>
      <bottom style="thin">
        <color rgb="FFE0E8EF"/>
      </bottom>
    </border>
    <border>
      <left style="thin">
        <color rgb="FF8D485A"/>
      </left>
      <right style="thin">
        <color rgb="FFF4E0E5"/>
      </right>
      <top style="thin">
        <color rgb="FFF4E0E5"/>
      </top>
      <bottom style="thin">
        <color rgb="FFF4E0E5"/>
      </bottom>
    </border>
    <border>
      <top style="thin">
        <color rgb="FF1D3889"/>
      </top>
      <bottom style="thin">
        <color rgb="FFE0E8EF"/>
      </bottom>
    </border>
    <border>
      <left style="thin">
        <color rgb="FFF4E0E5"/>
      </left>
      <right style="thin">
        <color rgb="FFF4E0E5"/>
      </right>
      <top style="thin">
        <color rgb="FFF4E0E5"/>
      </top>
      <bottom style="thin">
        <color rgb="FFF4E0E5"/>
      </bottom>
    </border>
    <border>
      <right style="thin">
        <color rgb="FF1D3889"/>
      </right>
      <top style="thin">
        <color rgb="FF1D3889"/>
      </top>
      <bottom style="thin">
        <color rgb="FFE0E8EF"/>
      </bottom>
    </border>
    <border>
      <left style="thin">
        <color rgb="FFF4E0E5"/>
      </left>
      <right style="thin">
        <color rgb="FF8D485A"/>
      </right>
      <top style="thin">
        <color rgb="FFF4E0E5"/>
      </top>
      <bottom style="thin">
        <color rgb="FFF4E0E5"/>
      </bottom>
    </border>
    <border>
      <bottom style="thin">
        <color rgb="FFE2E6EB"/>
      </bottom>
    </border>
    <border>
      <left style="thin">
        <color rgb="FFE2E6EB"/>
      </left>
      <right style="thin">
        <color rgb="FFE2E6EB"/>
      </right>
      <top style="thin">
        <color rgb="FFE2E6EB"/>
      </top>
      <bottom style="thin">
        <color rgb="FFE2E6EB"/>
      </bottom>
    </border>
    <border>
      <left style="thin">
        <color rgb="FF1D3889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thin">
        <color rgb="FFE5CCD3"/>
      </left>
      <right style="thin">
        <color rgb="FFE5CCD3"/>
      </right>
      <top style="thin">
        <color rgb="FFE5CCD3"/>
      </top>
      <bottom style="thin">
        <color rgb="FFE5CCD3"/>
      </bottom>
    </border>
    <border>
      <left style="thin">
        <color rgb="FFE0E8EF"/>
      </left>
      <right style="thin">
        <color rgb="FF1D3889"/>
      </right>
      <top style="thin">
        <color rgb="FFE0E8EF"/>
      </top>
      <bottom style="thin">
        <color rgb="FFE0E8EF"/>
      </bottom>
    </border>
    <border>
      <left style="thin">
        <color rgb="FF8D485A"/>
      </left>
      <right style="thin">
        <color rgb="FFF4E0E5"/>
      </right>
      <top style="thin">
        <color rgb="FFF4E0E5"/>
      </top>
      <bottom style="thin">
        <color rgb="FF8D485A"/>
      </bottom>
    </border>
    <border>
      <left style="thin">
        <color rgb="FFF4E0E5"/>
      </left>
      <right style="thin">
        <color rgb="FFF4E0E5"/>
      </right>
      <top style="thin">
        <color rgb="FFF4E0E5"/>
      </top>
      <bottom style="thin">
        <color rgb="FF8D485A"/>
      </bottom>
    </border>
    <border>
      <right style="thin">
        <color rgb="FFCCD8E5"/>
      </right>
      <top style="thin">
        <color rgb="FFCCD8E5"/>
      </top>
      <bottom style="thin">
        <color rgb="FFCCD8E5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left style="thin">
        <color rgb="FFF4E0E5"/>
      </left>
      <right style="thin">
        <color rgb="FF8D485A"/>
      </right>
      <top style="thin">
        <color rgb="FFF4E0E5"/>
      </top>
      <bottom style="thin">
        <color rgb="FF8D485A"/>
      </bottom>
    </border>
    <border>
      <top style="thin">
        <color rgb="FFCC99A5"/>
      </top>
    </border>
    <border>
      <right style="thin">
        <color rgb="FFF4E0E5"/>
      </right>
      <top style="thin">
        <color rgb="FF8D485A"/>
      </top>
      <bottom style="thin">
        <color rgb="FFF4E0E5"/>
      </bottom>
    </border>
    <border>
      <left style="thin">
        <color rgb="FFF4E0E5"/>
      </left>
      <right style="thin">
        <color rgb="FFF4E0E5"/>
      </right>
      <top style="thin">
        <color rgb="FF8D485A"/>
      </top>
      <bottom style="thin">
        <color rgb="FFF4E0E5"/>
      </bottom>
    </border>
    <border>
      <left style="thin">
        <color rgb="FFF4E0E5"/>
      </left>
      <top style="thin">
        <color rgb="FF8D485A"/>
      </top>
      <bottom style="thin">
        <color rgb="FFF4E0E5"/>
      </bottom>
    </border>
    <border>
      <top style="thin">
        <color rgb="FFB2D8BF"/>
      </top>
      <bottom style="thin">
        <color rgb="FFB2D8BF"/>
      </bottom>
    </border>
    <border>
      <right style="thin">
        <color rgb="FFB2D8BF"/>
      </right>
      <top style="thin">
        <color rgb="FFB2D8BF"/>
      </top>
      <bottom style="thin">
        <color rgb="FFB2D8BF"/>
      </bottom>
    </border>
    <border>
      <left style="thin">
        <color rgb="FF8D485A"/>
      </left>
      <top style="thin">
        <color rgb="FFF4E0E5"/>
      </top>
      <bottom style="thin">
        <color rgb="FF8D485A"/>
      </bottom>
    </border>
    <border>
      <top style="thin">
        <color rgb="FFF4E0E5"/>
      </top>
      <bottom style="thin">
        <color rgb="FF8D485A"/>
      </bottom>
    </border>
    <border>
      <right style="thin">
        <color rgb="FFF4E0E5"/>
      </right>
      <top style="thin">
        <color rgb="FFF4E0E5"/>
      </top>
      <bottom style="thin">
        <color rgb="FF8D485A"/>
      </bottom>
    </border>
    <border>
      <left style="thin">
        <color rgb="FFF4E0E5"/>
      </left>
      <top style="thin">
        <color rgb="FFF4E0E5"/>
      </top>
      <bottom style="thin">
        <color rgb="FF8D485A"/>
      </bottom>
    </border>
    <border>
      <right style="thin">
        <color rgb="FF8D485A"/>
      </right>
      <top style="thin">
        <color rgb="FFF4E0E5"/>
      </top>
      <bottom style="thin">
        <color rgb="FF8D485A"/>
      </bottom>
    </border>
    <border>
      <left style="thin">
        <color rgb="FF1D3889"/>
      </left>
      <right style="thin">
        <color rgb="FFE0E8EF"/>
      </right>
      <top style="thin">
        <color rgb="FFE0E8EF"/>
      </top>
      <bottom style="thin">
        <color rgb="FF1D3889"/>
      </bottom>
    </border>
    <border>
      <left style="thin">
        <color rgb="FFF4E0E5"/>
      </left>
      <top style="thin">
        <color rgb="FFF4E0E5"/>
      </top>
      <bottom style="thin">
        <color rgb="FFF4E0E5"/>
      </bottom>
    </border>
    <border>
      <right style="thin">
        <color rgb="FFF4E0E5"/>
      </right>
      <top style="thin">
        <color rgb="FFF4E0E5"/>
      </top>
      <bottom style="thin">
        <color rgb="FFF4E0E5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1D3889"/>
      </bottom>
    </border>
    <border>
      <left style="thin">
        <color rgb="FFE4CCD2"/>
      </left>
      <right style="thin">
        <color rgb="FFE4CCD2"/>
      </right>
      <top style="thin">
        <color rgb="FFE4CCD2"/>
      </top>
      <bottom style="thin">
        <color rgb="FFE4CCD2"/>
      </bottom>
    </border>
    <border>
      <left style="thin">
        <color rgb="FFE0E8EF"/>
      </left>
      <right style="thin">
        <color rgb="FF1D3889"/>
      </right>
      <top style="thin">
        <color rgb="FFE0E8EF"/>
      </top>
      <bottom style="thin">
        <color rgb="FF1D3889"/>
      </bottom>
    </border>
    <border>
      <top style="thin">
        <color rgb="FF99B2D8"/>
      </top>
    </border>
    <border>
      <right style="thin">
        <color rgb="FFE0E8EF"/>
      </right>
      <top style="thin">
        <color rgb="FF1D3889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1D3889"/>
      </top>
      <bottom style="thin">
        <color rgb="FFE0E8EF"/>
      </bottom>
    </border>
    <border>
      <left style="thin">
        <color rgb="FFE0E8EF"/>
      </left>
      <top style="thin">
        <color rgb="FF1D3889"/>
      </top>
      <bottom style="thin">
        <color rgb="FFE0E8EF"/>
      </bottom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</border>
    <border>
      <top style="thin">
        <color rgb="FF84D89E"/>
      </top>
      <bottom style="thin">
        <color rgb="FF84D89E"/>
      </bottom>
    </border>
    <border>
      <right style="thin">
        <color rgb="FF84D89E"/>
      </right>
      <top style="thin">
        <color rgb="FF84D89E"/>
      </top>
      <bottom style="thin">
        <color rgb="FF84D89E"/>
      </bottom>
    </border>
    <border>
      <left style="thin">
        <color rgb="FF1D3889"/>
      </left>
      <top style="thin">
        <color rgb="FFE0E8EF"/>
      </top>
      <bottom style="thin">
        <color rgb="FF1D3889"/>
      </bottom>
    </border>
    <border>
      <top style="thin">
        <color rgb="FFE0E8EF"/>
      </top>
      <bottom style="thin">
        <color rgb="FF1D3889"/>
      </bottom>
    </border>
    <border>
      <right style="thin">
        <color rgb="FFE0E8EF"/>
      </right>
      <top style="thin">
        <color rgb="FFE0E8EF"/>
      </top>
      <bottom style="thin">
        <color rgb="FF1D3889"/>
      </bottom>
    </border>
    <border>
      <left style="thin">
        <color rgb="FFE0E8EF"/>
      </left>
      <top style="thin">
        <color rgb="FFE0E8EF"/>
      </top>
      <bottom style="thin">
        <color rgb="FF1D3889"/>
      </bottom>
    </border>
    <border>
      <right style="thin">
        <color rgb="FF1D3889"/>
      </right>
      <top style="thin">
        <color rgb="FFE0E8EF"/>
      </top>
      <bottom style="thin">
        <color rgb="FF1D3889"/>
      </bottom>
    </border>
    <border>
      <left style="thin">
        <color rgb="FF73777D"/>
      </left>
      <top style="thin">
        <color rgb="FFE1E1E1"/>
      </top>
      <bottom style="thin">
        <color rgb="FFB2BCC6"/>
      </bottom>
    </border>
    <border>
      <top style="thin">
        <color rgb="FFE1E1E1"/>
      </top>
      <bottom style="thin">
        <color rgb="FFB2BCC6"/>
      </bottom>
    </border>
    <border>
      <right style="thin">
        <color rgb="FF73777D"/>
      </right>
      <top style="thin">
        <color rgb="FFE1E1E1"/>
      </top>
      <bottom style="thin">
        <color rgb="FFB2BCC6"/>
      </bottom>
    </border>
    <border>
      <left style="thin">
        <color rgb="FF73777E"/>
      </left>
      <right style="thin">
        <color rgb="FF73777E"/>
      </right>
      <top style="thin">
        <color rgb="FF73777E"/>
      </top>
    </border>
    <border>
      <right style="thin">
        <color rgb="FFD8E0EA"/>
      </right>
      <top style="thin">
        <color rgb="FFD8E0EA"/>
      </top>
      <bottom style="thin">
        <color rgb="FFD8E0EA"/>
      </bottom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</border>
    <border>
      <left style="thin">
        <color rgb="FF73777D"/>
      </left>
      <top style="thin">
        <color rgb="FFE1E1E1"/>
      </top>
      <bottom style="thin">
        <color rgb="FF73777D"/>
      </bottom>
    </border>
    <border>
      <top style="thin">
        <color rgb="FFE1E1E1"/>
      </top>
      <bottom style="thin">
        <color rgb="FF73777D"/>
      </bottom>
    </border>
    <border>
      <right style="thin">
        <color rgb="FF73777D"/>
      </right>
      <top style="thin">
        <color rgb="FFE1E1E1"/>
      </top>
      <bottom style="thin">
        <color rgb="FF73777D"/>
      </bottom>
    </border>
    <border>
      <left style="thin">
        <color rgb="FF73777E"/>
      </left>
      <top style="thin">
        <color rgb="FF73777E"/>
      </top>
    </border>
    <border>
      <right style="thin">
        <color rgb="FFD7DFEA"/>
      </right>
      <top style="thin">
        <color rgb="FFD7DFEA"/>
      </top>
      <bottom style="thin">
        <color rgb="FFD7DFEA"/>
      </bottom>
    </border>
    <border>
      <right style="thin">
        <color rgb="FFE2E6EB"/>
      </right>
      <bottom style="thin">
        <color rgb="FFE2E6EB"/>
      </bottom>
    </border>
    <border>
      <left style="thin">
        <color rgb="FF73777E"/>
      </left>
      <right style="thin">
        <color rgb="FF73777E"/>
      </right>
      <bottom style="thin">
        <color rgb="FFE2E6EB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ill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left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readingOrder="0" vertical="center"/>
    </xf>
    <xf borderId="5" fillId="0" fontId="5" numFmtId="0" xfId="0" applyBorder="1" applyFont="1"/>
    <xf borderId="0" fillId="2" fontId="7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left" readingOrder="0" vertical="top"/>
    </xf>
    <xf borderId="6" fillId="6" fontId="3" numFmtId="0" xfId="0" applyAlignment="1" applyBorder="1" applyFill="1" applyFont="1">
      <alignment horizontal="left" readingOrder="0" vertical="center"/>
    </xf>
    <xf borderId="7" fillId="0" fontId="5" numFmtId="0" xfId="0" applyBorder="1" applyFont="1"/>
    <xf borderId="8" fillId="0" fontId="5" numFmtId="0" xfId="0" applyBorder="1" applyFont="1"/>
    <xf borderId="0" fillId="2" fontId="10" numFmtId="0" xfId="0" applyAlignment="1" applyFill="1" applyFont="1">
      <alignment horizontal="center" readingOrder="0" vertical="center"/>
    </xf>
    <xf borderId="0" fillId="7" fontId="11" numFmtId="0" xfId="0" applyAlignment="1" applyFill="1" applyFont="1">
      <alignment horizontal="center" readingOrder="0" vertical="center"/>
    </xf>
    <xf borderId="0" fillId="8" fontId="12" numFmtId="0" xfId="0" applyAlignment="1" applyFill="1" applyFont="1">
      <alignment horizontal="center" readingOrder="0" vertical="center"/>
    </xf>
    <xf borderId="9" fillId="4" fontId="13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11" fillId="9" fontId="14" numFmtId="0" xfId="0" applyAlignment="1" applyBorder="1" applyFill="1" applyFont="1">
      <alignment horizontal="center" readingOrder="0" vertical="center"/>
    </xf>
    <xf borderId="12" fillId="0" fontId="5" numFmtId="0" xfId="0" applyBorder="1" applyFont="1"/>
    <xf borderId="13" fillId="0" fontId="5" numFmtId="0" xfId="0" applyBorder="1" applyFont="1"/>
    <xf borderId="0" fillId="0" fontId="15" numFmtId="0" xfId="0" applyAlignment="1" applyFont="1">
      <alignment readingOrder="0" vertical="center"/>
    </xf>
    <xf borderId="9" fillId="4" fontId="13" numFmtId="164" xfId="0" applyAlignment="1" applyBorder="1" applyFill="1" applyFont="1" applyNumberFormat="1">
      <alignment horizontal="center" vertical="center"/>
    </xf>
    <xf borderId="0" fillId="5" fontId="16" numFmtId="0" xfId="0" applyAlignment="1" applyFill="1" applyFont="1">
      <alignment horizontal="center" readingOrder="0" vertical="center"/>
    </xf>
    <xf borderId="0" fillId="2" fontId="17" numFmtId="0" xfId="0" applyFill="1" applyFont="1"/>
    <xf borderId="14" fillId="6" fontId="18" numFmtId="0" xfId="0" applyAlignment="1" applyBorder="1" applyFill="1" applyFont="1">
      <alignment horizontal="left" readingOrder="0" vertical="center"/>
    </xf>
    <xf borderId="15" fillId="3" fontId="19" numFmtId="0" xfId="0" applyAlignment="1" applyBorder="1" applyFill="1" applyFont="1">
      <alignment horizontal="left" readingOrder="0" vertical="center"/>
    </xf>
    <xf borderId="0" fillId="6" fontId="20" numFmtId="0" xfId="0" applyAlignment="1" applyFill="1" applyFont="1">
      <alignment horizontal="center" vertical="center"/>
    </xf>
    <xf borderId="16" fillId="0" fontId="5" numFmtId="0" xfId="0" applyBorder="1" applyFont="1"/>
    <xf borderId="0" fillId="3" fontId="20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17" fillId="0" fontId="5" numFmtId="0" xfId="0" applyBorder="1" applyFont="1"/>
    <xf borderId="0" fillId="2" fontId="21" numFmtId="0" xfId="0" applyAlignment="1" applyFill="1" applyFont="1">
      <alignment horizontal="center" vertical="center"/>
    </xf>
    <xf borderId="18" fillId="10" fontId="20" numFmtId="0" xfId="0" applyAlignment="1" applyBorder="1" applyFill="1" applyFont="1">
      <alignment horizontal="center" readingOrder="0" vertical="center"/>
    </xf>
    <xf borderId="19" fillId="11" fontId="22" numFmtId="0" xfId="0" applyAlignment="1" applyBorder="1" applyFill="1" applyFont="1">
      <alignment horizontal="left" readingOrder="0" vertical="center"/>
    </xf>
    <xf borderId="20" fillId="12" fontId="23" numFmtId="0" xfId="0" applyAlignment="1" applyBorder="1" applyFill="1" applyFont="1">
      <alignment horizontal="left" readingOrder="0" vertical="center"/>
    </xf>
    <xf borderId="21" fillId="2" fontId="24" numFmtId="0" xfId="0" applyAlignment="1" applyBorder="1" applyFill="1" applyFont="1">
      <alignment horizontal="left" readingOrder="0" vertical="center"/>
    </xf>
    <xf borderId="22" fillId="0" fontId="25" numFmtId="0" xfId="0" applyAlignment="1" applyBorder="1" applyFont="1">
      <alignment horizontal="center" readingOrder="0" vertical="center"/>
    </xf>
    <xf borderId="23" fillId="0" fontId="5" numFmtId="0" xfId="0" applyBorder="1" applyFont="1"/>
    <xf borderId="24" fillId="0" fontId="25" numFmtId="165" xfId="0" applyAlignment="1" applyBorder="1" applyFont="1" applyNumberFormat="1">
      <alignment horizontal="center" readingOrder="0" vertical="center"/>
    </xf>
    <xf borderId="25" fillId="11" fontId="26" numFmtId="0" xfId="0" applyAlignment="1" applyBorder="1" applyFill="1" applyFont="1">
      <alignment horizontal="left" readingOrder="0" vertical="center"/>
    </xf>
    <xf borderId="26" fillId="2" fontId="24" numFmtId="0" xfId="0" applyAlignment="1" applyBorder="1" applyFill="1" applyFont="1">
      <alignment horizontal="left" readingOrder="0" vertical="center"/>
    </xf>
    <xf borderId="27" fillId="0" fontId="5" numFmtId="0" xfId="0" applyBorder="1" applyFont="1"/>
    <xf borderId="21" fillId="13" fontId="27" numFmtId="0" xfId="0" applyAlignment="1" applyBorder="1" applyFill="1" applyFont="1">
      <alignment horizontal="left" readingOrder="0" vertical="center"/>
    </xf>
    <xf borderId="28" fillId="12" fontId="28" numFmtId="0" xfId="0" applyAlignment="1" applyBorder="1" applyFill="1" applyFont="1">
      <alignment horizontal="left" readingOrder="0" vertical="center"/>
    </xf>
    <xf borderId="29" fillId="0" fontId="5" numFmtId="0" xfId="0" applyBorder="1" applyFont="1"/>
    <xf borderId="30" fillId="2" fontId="20" numFmtId="0" xfId="0" applyAlignment="1" applyBorder="1" applyFill="1" applyFont="1">
      <alignment horizontal="center" readingOrder="0" vertical="center"/>
    </xf>
    <xf borderId="26" fillId="14" fontId="27" numFmtId="0" xfId="0" applyAlignment="1" applyBorder="1" applyFill="1" applyFont="1">
      <alignment horizontal="left" readingOrder="0" vertical="center"/>
    </xf>
    <xf borderId="31" fillId="2" fontId="20" numFmtId="0" xfId="0" applyAlignment="1" applyBorder="1" applyFill="1" applyFont="1">
      <alignment horizontal="center" readingOrder="0" vertical="center"/>
    </xf>
    <xf borderId="32" fillId="0" fontId="5" numFmtId="0" xfId="0" applyBorder="1" applyFont="1"/>
    <xf borderId="33" fillId="2" fontId="29" numFmtId="0" xfId="0" applyAlignment="1" applyBorder="1" applyFill="1" applyFont="1">
      <alignment horizontal="center" readingOrder="0" vertical="center"/>
    </xf>
    <xf borderId="34" fillId="2" fontId="20" numFmtId="0" xfId="0" applyAlignment="1" applyBorder="1" applyFill="1" applyFont="1">
      <alignment horizontal="center" readingOrder="0" vertical="center"/>
    </xf>
    <xf borderId="0" fillId="0" fontId="17" numFmtId="0" xfId="0" applyFont="1"/>
    <xf borderId="24" fillId="0" fontId="25" numFmtId="0" xfId="0" applyAlignment="1" applyBorder="1" applyFont="1">
      <alignment horizontal="left" readingOrder="0" vertical="center"/>
    </xf>
    <xf borderId="35" fillId="11" fontId="22" numFmtId="0" xfId="0" applyAlignment="1" applyBorder="1" applyFill="1" applyFont="1">
      <alignment horizontal="left" readingOrder="0" vertical="center"/>
    </xf>
    <xf borderId="36" fillId="12" fontId="23" numFmtId="0" xfId="0" applyAlignment="1" applyBorder="1" applyFill="1" applyFont="1">
      <alignment horizontal="left" readingOrder="0" vertical="center"/>
    </xf>
    <xf borderId="24" fillId="0" fontId="25" numFmtId="1" xfId="0" applyAlignment="1" applyBorder="1" applyFont="1" applyNumberFormat="1">
      <alignment horizontal="center" readingOrder="0" vertical="center"/>
    </xf>
    <xf borderId="37" fillId="2" fontId="24" numFmtId="165" xfId="0" applyAlignment="1" applyBorder="1" applyFill="1" applyFont="1" applyNumberFormat="1">
      <alignment horizontal="left" readingOrder="0" vertical="center"/>
    </xf>
    <xf borderId="38" fillId="0" fontId="5" numFmtId="0" xfId="0" applyBorder="1" applyFont="1"/>
    <xf borderId="24" fillId="0" fontId="25" numFmtId="166" xfId="0" applyAlignment="1" applyBorder="1" applyFont="1" applyNumberFormat="1">
      <alignment horizontal="right" readingOrder="0" vertical="center"/>
    </xf>
    <xf borderId="39" fillId="2" fontId="24" numFmtId="165" xfId="0" applyAlignment="1" applyBorder="1" applyFill="1" applyFont="1" applyNumberFormat="1">
      <alignment horizontal="left" readingOrder="0" vertical="center"/>
    </xf>
    <xf borderId="40" fillId="11" fontId="26" numFmtId="0" xfId="0" applyAlignment="1" applyBorder="1" applyFill="1" applyFont="1">
      <alignment horizontal="left" readingOrder="0" vertical="center"/>
    </xf>
    <xf borderId="24" fillId="0" fontId="25" numFmtId="1" xfId="0" applyAlignment="1" applyBorder="1" applyFont="1" applyNumberFormat="1">
      <alignment horizontal="right" readingOrder="0" vertical="center"/>
    </xf>
    <xf borderId="41" fillId="0" fontId="5" numFmtId="0" xfId="0" applyBorder="1" applyFont="1"/>
    <xf borderId="42" fillId="12" fontId="28" numFmtId="0" xfId="0" applyAlignment="1" applyBorder="1" applyFill="1" applyFont="1">
      <alignment horizontal="left" readingOrder="0" vertical="center"/>
    </xf>
    <xf borderId="0" fillId="7" fontId="30" numFmtId="0" xfId="0" applyAlignment="1" applyFill="1" applyFont="1">
      <alignment horizontal="center" vertical="center"/>
    </xf>
    <xf borderId="24" fillId="0" fontId="25" numFmtId="167" xfId="0" applyAlignment="1" applyBorder="1" applyFont="1" applyNumberFormat="1">
      <alignment horizontal="right" readingOrder="0" vertical="center"/>
    </xf>
    <xf borderId="37" fillId="13" fontId="27" numFmtId="0" xfId="0" applyAlignment="1" applyBorder="1" applyFill="1" applyFont="1">
      <alignment horizontal="left" vertical="center"/>
    </xf>
    <xf borderId="39" fillId="14" fontId="27" numFmtId="0" xfId="0" applyAlignment="1" applyBorder="1" applyFill="1" applyFont="1">
      <alignment horizontal="left" vertical="center"/>
    </xf>
    <xf borderId="43" fillId="0" fontId="5" numFmtId="0" xfId="0" applyBorder="1" applyFont="1"/>
    <xf borderId="24" fillId="0" fontId="25" numFmtId="165" xfId="0" applyAlignment="1" applyBorder="1" applyFont="1" applyNumberFormat="1">
      <alignment horizontal="center" readingOrder="0" vertical="center"/>
    </xf>
    <xf borderId="44" fillId="0" fontId="5" numFmtId="0" xfId="0" applyBorder="1" applyFont="1"/>
    <xf borderId="0" fillId="8" fontId="31" numFmtId="0" xfId="0" applyAlignment="1" applyFill="1" applyFont="1">
      <alignment horizontal="center" vertical="center"/>
    </xf>
    <xf borderId="45" fillId="2" fontId="2" numFmtId="0" xfId="0" applyAlignment="1" applyBorder="1" applyFill="1" applyFont="1">
      <alignment horizontal="center" vertical="center"/>
    </xf>
    <xf borderId="46" fillId="2" fontId="32" numFmtId="0" xfId="0" applyAlignment="1" applyBorder="1" applyFill="1" applyFont="1">
      <alignment horizontal="center" vertical="center"/>
    </xf>
    <xf borderId="47" fillId="2" fontId="2" numFmtId="0" xfId="0" applyAlignment="1" applyBorder="1" applyFill="1" applyFont="1">
      <alignment horizontal="center" vertical="center"/>
    </xf>
    <xf borderId="48" fillId="2" fontId="20" numFmtId="0" xfId="0" applyAlignment="1" applyBorder="1" applyFill="1" applyFont="1">
      <alignment horizontal="center" vertical="center"/>
    </xf>
    <xf borderId="24" fillId="0" fontId="25" numFmtId="167" xfId="0" applyAlignment="1" applyBorder="1" applyFont="1" applyNumberFormat="1">
      <alignment horizontal="right" vertical="center"/>
    </xf>
    <xf borderId="49" fillId="15" fontId="33" numFmtId="0" xfId="0" applyAlignment="1" applyBorder="1" applyFill="1" applyFont="1">
      <alignment horizontal="center" readingOrder="0" vertical="center"/>
    </xf>
    <xf borderId="50" fillId="0" fontId="5" numFmtId="0" xfId="0" applyBorder="1" applyFont="1"/>
    <xf borderId="51" fillId="0" fontId="5" numFmtId="0" xfId="0" applyBorder="1" applyFont="1"/>
    <xf borderId="37" fillId="2" fontId="24" numFmtId="0" xfId="0" applyAlignment="1" applyBorder="1" applyFill="1" applyFont="1">
      <alignment horizontal="left" readingOrder="0" vertical="center"/>
    </xf>
    <xf borderId="39" fillId="2" fontId="24" numFmtId="0" xfId="0" applyAlignment="1" applyBorder="1" applyFill="1" applyFont="1">
      <alignment horizontal="left" readingOrder="0" vertical="center"/>
    </xf>
    <xf borderId="52" fillId="16" fontId="34" numFmtId="0" xfId="0" applyAlignment="1" applyBorder="1" applyFill="1" applyFont="1">
      <alignment horizontal="center" readingOrder="0" vertical="center"/>
    </xf>
    <xf borderId="52" fillId="16" fontId="34" numFmtId="0" xfId="0" applyAlignment="1" applyBorder="1" applyFill="1" applyFont="1">
      <alignment horizontal="left" readingOrder="0" shrinkToFit="0" vertical="center" wrapText="1"/>
    </xf>
    <xf borderId="53" fillId="2" fontId="2" numFmtId="0" xfId="0" applyAlignment="1" applyBorder="1" applyFill="1" applyFont="1">
      <alignment horizontal="center" vertical="center"/>
    </xf>
    <xf borderId="54" fillId="2" fontId="35" numFmtId="0" xfId="0" applyAlignment="1" applyBorder="1" applyFill="1" applyFont="1">
      <alignment horizontal="center" vertical="center"/>
    </xf>
    <xf borderId="52" fillId="16" fontId="34" numFmtId="0" xfId="0" applyAlignment="1" applyBorder="1" applyFill="1" applyFont="1">
      <alignment horizontal="center" readingOrder="0" shrinkToFit="0" vertical="center" wrapText="1"/>
    </xf>
    <xf borderId="55" fillId="2" fontId="2" numFmtId="0" xfId="0" applyAlignment="1" applyBorder="1" applyFill="1" applyFont="1">
      <alignment horizontal="center" vertical="center"/>
    </xf>
    <xf borderId="56" fillId="2" fontId="36" numFmtId="0" xfId="0" applyAlignment="1" applyBorder="1" applyFill="1" applyFont="1">
      <alignment horizontal="center" vertical="center"/>
    </xf>
    <xf borderId="0" fillId="16" fontId="34" numFmtId="0" xfId="0" applyAlignment="1" applyFill="1" applyFont="1">
      <alignment horizontal="center" readingOrder="0" vertical="center"/>
    </xf>
    <xf borderId="57" fillId="17" fontId="37" numFmtId="0" xfId="0" applyAlignment="1" applyBorder="1" applyFill="1" applyFont="1">
      <alignment horizontal="left" readingOrder="0" vertical="center"/>
    </xf>
    <xf borderId="58" fillId="0" fontId="5" numFmtId="0" xfId="0" applyBorder="1" applyFont="1"/>
    <xf borderId="59" fillId="2" fontId="38" numFmtId="0" xfId="0" applyAlignment="1" applyBorder="1" applyFill="1" applyFont="1">
      <alignment horizontal="left" readingOrder="0" vertical="center"/>
    </xf>
    <xf borderId="60" fillId="0" fontId="5" numFmtId="0" xfId="0" applyBorder="1" applyFont="1"/>
    <xf borderId="61" fillId="0" fontId="5" numFmtId="0" xfId="0" applyBorder="1" applyFont="1"/>
    <xf borderId="54" fillId="2" fontId="32" numFmtId="0" xfId="0" applyAlignment="1" applyBorder="1" applyFill="1" applyFont="1">
      <alignment horizontal="center" vertical="center"/>
    </xf>
    <xf borderId="62" fillId="7" fontId="39" numFmtId="0" xfId="0" applyAlignment="1" applyBorder="1" applyFill="1" applyFont="1">
      <alignment horizontal="left" readingOrder="0" vertical="center"/>
    </xf>
    <xf borderId="56" fillId="2" fontId="20" numFmtId="0" xfId="0" applyAlignment="1" applyBorder="1" applyFill="1" applyFont="1">
      <alignment horizontal="center" vertical="center"/>
    </xf>
    <xf borderId="63" fillId="11" fontId="22" numFmtId="0" xfId="0" applyAlignment="1" applyBorder="1" applyFill="1" applyFont="1">
      <alignment horizontal="left" readingOrder="0" vertical="center"/>
    </xf>
    <xf borderId="64" fillId="18" fontId="5" numFmtId="0" xfId="0" applyBorder="1" applyFill="1" applyFont="1"/>
    <xf borderId="65" fillId="2" fontId="24" numFmtId="0" xfId="0" applyAlignment="1" applyBorder="1" applyFill="1" applyFont="1">
      <alignment horizontal="left" readingOrder="0" vertical="center"/>
    </xf>
    <xf borderId="66" fillId="0" fontId="5" numFmtId="0" xfId="0" applyBorder="1" applyFont="1"/>
    <xf borderId="67" fillId="11" fontId="26" numFmtId="0" xfId="0" applyAlignment="1" applyBorder="1" applyFill="1" applyFont="1">
      <alignment horizontal="left" readingOrder="0" vertical="center"/>
    </xf>
    <xf borderId="68" fillId="12" fontId="23" numFmtId="0" xfId="0" applyAlignment="1" applyBorder="1" applyFill="1" applyFont="1">
      <alignment horizontal="left" readingOrder="0" vertical="center"/>
    </xf>
    <xf borderId="69" fillId="2" fontId="24" numFmtId="0" xfId="0" applyAlignment="1" applyBorder="1" applyFill="1" applyFont="1">
      <alignment horizontal="left" readingOrder="0" vertical="center"/>
    </xf>
    <xf borderId="64" fillId="0" fontId="5" numFmtId="0" xfId="0" applyBorder="1" applyFont="1"/>
    <xf borderId="70" fillId="0" fontId="5" numFmtId="0" xfId="0" applyBorder="1" applyFont="1"/>
    <xf borderId="71" fillId="0" fontId="5" numFmtId="0" xfId="0" applyBorder="1" applyFont="1"/>
    <xf borderId="22" fillId="0" fontId="25" numFmtId="165" xfId="0" applyAlignment="1" applyBorder="1" applyFont="1" applyNumberFormat="1">
      <alignment horizontal="center" readingOrder="0" vertical="center"/>
    </xf>
    <xf borderId="72" fillId="12" fontId="28" numFmtId="0" xfId="0" applyAlignment="1" applyBorder="1" applyFill="1" applyFont="1">
      <alignment horizontal="left" readingOrder="0" vertical="center"/>
    </xf>
    <xf borderId="65" fillId="13" fontId="27" numFmtId="3" xfId="0" applyAlignment="1" applyBorder="1" applyFill="1" applyFont="1" applyNumberFormat="1">
      <alignment horizontal="left" vertical="center"/>
    </xf>
    <xf borderId="73" fillId="0" fontId="5" numFmtId="0" xfId="0" applyBorder="1" applyFont="1"/>
    <xf borderId="22" fillId="0" fontId="25" numFmtId="0" xfId="0" applyAlignment="1" applyBorder="1" applyFont="1">
      <alignment horizontal="left" readingOrder="0" vertical="center"/>
    </xf>
    <xf borderId="69" fillId="14" fontId="27" numFmtId="164" xfId="0" applyAlignment="1" applyBorder="1" applyFill="1" applyFont="1" applyNumberFormat="1">
      <alignment horizontal="left" vertical="center"/>
    </xf>
    <xf borderId="22" fillId="0" fontId="25" numFmtId="1" xfId="0" applyAlignment="1" applyBorder="1" applyFont="1" applyNumberFormat="1">
      <alignment horizontal="center" readingOrder="0" vertical="center"/>
    </xf>
    <xf borderId="0" fillId="2" fontId="2" numFmtId="0" xfId="0" applyFill="1" applyFont="1"/>
    <xf borderId="74" fillId="0" fontId="5" numFmtId="0" xfId="0" applyBorder="1" applyFont="1"/>
    <xf borderId="54" fillId="2" fontId="32" numFmtId="164" xfId="0" applyAlignment="1" applyBorder="1" applyFill="1" applyFont="1" applyNumberFormat="1">
      <alignment horizontal="center" vertical="center"/>
    </xf>
    <xf borderId="22" fillId="0" fontId="25" numFmtId="166" xfId="0" applyAlignment="1" applyBorder="1" applyFont="1" applyNumberFormat="1">
      <alignment horizontal="right" readingOrder="0" vertical="center"/>
    </xf>
    <xf borderId="56" fillId="2" fontId="20" numFmtId="164" xfId="0" applyAlignment="1" applyBorder="1" applyFill="1" applyFont="1" applyNumberFormat="1">
      <alignment horizontal="center" vertical="center"/>
    </xf>
    <xf borderId="22" fillId="0" fontId="25" numFmtId="1" xfId="0" applyAlignment="1" applyBorder="1" applyFont="1" applyNumberFormat="1">
      <alignment horizontal="right" readingOrder="0" vertical="center"/>
    </xf>
    <xf borderId="22" fillId="0" fontId="25" numFmtId="167" xfId="0" applyAlignment="1" applyBorder="1" applyFont="1" applyNumberFormat="1">
      <alignment horizontal="right" vertical="center"/>
    </xf>
    <xf borderId="75" fillId="6" fontId="20" numFmtId="0" xfId="0" applyAlignment="1" applyBorder="1" applyFill="1" applyFont="1">
      <alignment horizontal="center" readingOrder="0" vertical="center"/>
    </xf>
    <xf borderId="76" fillId="0" fontId="5" numFmtId="0" xfId="0" applyBorder="1" applyFont="1"/>
    <xf borderId="77" fillId="0" fontId="5" numFmtId="0" xfId="0" applyBorder="1" applyFont="1"/>
    <xf borderId="0" fillId="2" fontId="3" numFmtId="0" xfId="0" applyAlignment="1" applyFill="1" applyFont="1">
      <alignment horizontal="left" readingOrder="0" vertical="center"/>
    </xf>
    <xf borderId="78" fillId="2" fontId="40" numFmtId="0" xfId="0" applyAlignment="1" applyBorder="1" applyFill="1" applyFont="1">
      <alignment horizontal="center" readingOrder="0" vertical="center"/>
    </xf>
    <xf borderId="78" fillId="2" fontId="41" numFmtId="0" xfId="0" applyAlignment="1" applyBorder="1" applyFill="1" applyFont="1">
      <alignment horizontal="center" readingOrder="0" vertical="center"/>
    </xf>
    <xf borderId="80" fillId="19" fontId="10" numFmtId="0" xfId="0" applyAlignment="1" applyBorder="1" applyFill="1" applyFont="1">
      <alignment horizontal="center" readingOrder="0" vertical="center"/>
    </xf>
    <xf borderId="79" fillId="3" fontId="20" numFmtId="0" xfId="0" applyAlignment="1" applyBorder="1" applyFill="1" applyFont="1">
      <alignment horizontal="center" readingOrder="0" vertical="center"/>
    </xf>
    <xf borderId="81" fillId="0" fontId="5" numFmtId="0" xfId="0" applyBorder="1" applyFont="1"/>
    <xf borderId="82" fillId="19" fontId="10" numFmtId="0" xfId="0" applyAlignment="1" applyBorder="1" applyFill="1" applyFont="1">
      <alignment horizontal="center" readingOrder="0" vertical="center"/>
    </xf>
    <xf borderId="78" fillId="2" fontId="42" numFmtId="0" xfId="0" applyAlignment="1" applyBorder="1" applyFill="1" applyFont="1">
      <alignment horizontal="left" readingOrder="0" shrinkToFit="0" vertical="center" wrapText="1"/>
    </xf>
    <xf borderId="83" fillId="0" fontId="5" numFmtId="0" xfId="0" applyBorder="1" applyFont="1"/>
    <xf borderId="0" fillId="2" fontId="3" numFmtId="0" xfId="0" applyAlignment="1" applyFill="1" applyFont="1">
      <alignment horizontal="left" readingOrder="0" vertical="center"/>
    </xf>
    <xf borderId="78" fillId="2" fontId="43" numFmtId="0" xfId="0" applyAlignment="1" applyBorder="1" applyFill="1" applyFont="1">
      <alignment horizontal="left" readingOrder="0" shrinkToFit="0" vertical="center" wrapText="1"/>
    </xf>
    <xf borderId="84" fillId="19" fontId="10" numFmtId="0" xfId="0" applyAlignment="1" applyBorder="1" applyFill="1" applyFont="1">
      <alignment horizontal="center" readingOrder="0" vertical="center"/>
    </xf>
    <xf borderId="0" fillId="2" fontId="20" numFmtId="0" xfId="0" applyAlignment="1" applyFill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80" fillId="11" fontId="44" numFmtId="0" xfId="0" applyAlignment="1" applyBorder="1" applyFill="1" applyFont="1">
      <alignment horizontal="center" readingOrder="0" vertical="center"/>
    </xf>
    <xf borderId="78" fillId="2" fontId="45" numFmtId="0" xfId="0" applyAlignment="1" applyBorder="1" applyFill="1" applyFont="1">
      <alignment horizontal="center" readingOrder="0" vertical="center"/>
    </xf>
    <xf borderId="82" fillId="0" fontId="17" numFmtId="0" xfId="0" applyAlignment="1" applyBorder="1" applyFont="1">
      <alignment horizontal="center" readingOrder="0" vertical="center"/>
    </xf>
    <xf borderId="82" fillId="0" fontId="46" numFmtId="166" xfId="0" applyAlignment="1" applyBorder="1" applyFont="1" applyNumberFormat="1">
      <alignment horizontal="right" readingOrder="0" vertical="center"/>
    </xf>
    <xf borderId="82" fillId="0" fontId="46" numFmtId="3" xfId="0" applyAlignment="1" applyBorder="1" applyFont="1" applyNumberFormat="1">
      <alignment horizontal="right" readingOrder="0" vertical="center"/>
    </xf>
    <xf borderId="0" fillId="0" fontId="25" numFmtId="165" xfId="0" applyAlignment="1" applyBorder="1" applyFont="1" applyNumberFormat="1">
      <alignment horizontal="center" readingOrder="0" vertical="center"/>
    </xf>
    <xf borderId="78" fillId="2" fontId="47" numFmtId="168" xfId="0" applyAlignment="1" applyBorder="1" applyFill="1" applyFont="1" applyNumberFormat="1">
      <alignment horizontal="right" vertical="center"/>
    </xf>
    <xf borderId="0" fillId="0" fontId="25" numFmtId="0" xfId="0" applyAlignment="1" applyBorder="1" applyFont="1">
      <alignment horizontal="left" readingOrder="0" vertical="center"/>
    </xf>
    <xf borderId="0" fillId="0" fontId="25" numFmtId="1" xfId="0" applyAlignment="1" applyBorder="1" applyFont="1" applyNumberFormat="1">
      <alignment horizontal="center" readingOrder="0" vertical="center"/>
    </xf>
    <xf borderId="0" fillId="0" fontId="25" numFmtId="166" xfId="0" applyAlignment="1" applyBorder="1" applyFont="1" applyNumberFormat="1">
      <alignment horizontal="right" readingOrder="0" vertical="center"/>
    </xf>
    <xf borderId="0" fillId="0" fontId="25" numFmtId="1" xfId="0" applyAlignment="1" applyBorder="1" applyFont="1" applyNumberFormat="1">
      <alignment horizontal="right" readingOrder="0" vertical="center"/>
    </xf>
    <xf borderId="82" fillId="13" fontId="48" numFmtId="3" xfId="0" applyAlignment="1" applyBorder="1" applyFill="1" applyFont="1" applyNumberFormat="1">
      <alignment horizontal="right" vertical="center"/>
    </xf>
    <xf borderId="0" fillId="0" fontId="25" numFmtId="164" xfId="0" applyAlignment="1" applyBorder="1" applyFont="1" applyNumberFormat="1">
      <alignment horizontal="right" readingOrder="0" vertical="center"/>
    </xf>
    <xf borderId="85" fillId="0" fontId="17" numFmtId="0" xfId="0" applyAlignment="1" applyBorder="1" applyFont="1">
      <alignment horizontal="center" vertical="center"/>
    </xf>
    <xf borderId="86" fillId="0" fontId="49" numFmtId="0" xfId="0" applyAlignment="1" applyBorder="1" applyFont="1">
      <alignment horizontal="center" vertical="center"/>
    </xf>
    <xf borderId="86" fillId="0" fontId="50" numFmtId="0" xfId="0" applyAlignment="1" applyBorder="1" applyFont="1">
      <alignment horizontal="center" readingOrder="0" vertical="center"/>
    </xf>
    <xf borderId="84" fillId="13" fontId="51" numFmtId="166" xfId="0" applyAlignment="1" applyBorder="1" applyFill="1" applyFont="1" applyNumberFormat="1">
      <alignment horizontal="right" readingOrder="0" vertical="center"/>
    </xf>
    <xf borderId="55" fillId="2" fontId="2" numFmtId="169" xfId="0" applyAlignment="1" applyBorder="1" applyFill="1" applyFont="1" applyNumberFormat="1">
      <alignment horizontal="center" vertical="center"/>
    </xf>
    <xf borderId="87" fillId="20" fontId="10" numFmtId="0" xfId="0" applyAlignment="1" applyBorder="1" applyFill="1" applyFont="1">
      <alignment horizontal="center" readingOrder="0" vertical="center"/>
    </xf>
    <xf borderId="88" fillId="2" fontId="2" numFmtId="0" xfId="0" applyAlignment="1" applyBorder="1" applyFill="1" applyFont="1">
      <alignment horizontal="center" vertical="center"/>
    </xf>
    <xf borderId="42" fillId="20" fontId="10" numFmtId="0" xfId="0" applyAlignment="1" applyBorder="1" applyFill="1" applyFont="1">
      <alignment horizontal="center" readingOrder="0" vertical="center"/>
    </xf>
    <xf borderId="78" fillId="18" fontId="40" numFmtId="0" xfId="0" applyAlignment="1" applyBorder="1" applyFill="1" applyFont="1">
      <alignment horizontal="center" readingOrder="0" vertical="center"/>
    </xf>
    <xf borderId="78" fillId="18" fontId="41" numFmtId="0" xfId="0" applyAlignment="1" applyBorder="1" applyFill="1" applyFont="1">
      <alignment horizontal="center" readingOrder="0" vertical="center"/>
    </xf>
    <xf borderId="89" fillId="20" fontId="10" numFmtId="0" xfId="0" applyAlignment="1" applyBorder="1" applyFill="1" applyFont="1">
      <alignment horizontal="center" readingOrder="0" vertical="center"/>
    </xf>
    <xf borderId="78" fillId="18" fontId="42" numFmtId="0" xfId="0" applyAlignment="1" applyBorder="1" applyFill="1" applyFont="1">
      <alignment horizontal="left" readingOrder="0" shrinkToFit="0" vertical="center" wrapText="1"/>
    </xf>
    <xf borderId="78" fillId="18" fontId="43" numFmtId="0" xfId="0" applyAlignment="1" applyBorder="1" applyFill="1" applyFont="1">
      <alignment horizontal="left" readingOrder="0" shrinkToFit="0" vertical="center" wrapText="1"/>
    </xf>
    <xf borderId="78" fillId="18" fontId="45" numFmtId="0" xfId="0" applyAlignment="1" applyBorder="1" applyFill="1" applyFont="1">
      <alignment horizontal="center" readingOrder="0" vertical="center"/>
    </xf>
    <xf borderId="78" fillId="18" fontId="47" numFmtId="168" xfId="0" applyAlignment="1" applyBorder="1" applyFill="1" applyFont="1" applyNumberFormat="1">
      <alignment horizontal="right" readingOrder="0" vertical="center"/>
    </xf>
    <xf borderId="87" fillId="21" fontId="44" numFmtId="0" xfId="0" applyAlignment="1" applyBorder="1" applyFill="1" applyFont="1">
      <alignment horizontal="center" readingOrder="0" vertical="center"/>
    </xf>
    <xf borderId="78" fillId="18" fontId="47" numFmtId="168" xfId="0" applyAlignment="1" applyBorder="1" applyFill="1" applyFont="1" applyNumberFormat="1">
      <alignment horizontal="right" vertical="center"/>
    </xf>
    <xf borderId="42" fillId="2" fontId="17" numFmtId="0" xfId="0" applyAlignment="1" applyBorder="1" applyFill="1" applyFont="1">
      <alignment horizontal="center" readingOrder="0" vertical="center"/>
    </xf>
    <xf borderId="42" fillId="2" fontId="46" numFmtId="166" xfId="0" applyAlignment="1" applyBorder="1" applyFill="1" applyFont="1" applyNumberFormat="1">
      <alignment horizontal="right" readingOrder="0" vertical="center"/>
    </xf>
    <xf borderId="42" fillId="2" fontId="46" numFmtId="3" xfId="0" applyAlignment="1" applyBorder="1" applyFill="1" applyFont="1" applyNumberFormat="1">
      <alignment horizontal="right" readingOrder="0" vertical="center"/>
    </xf>
    <xf borderId="82" fillId="0" fontId="46" numFmtId="166" xfId="0" applyAlignment="1" applyBorder="1" applyFont="1" applyNumberFormat="1">
      <alignment horizontal="right" vertical="center"/>
    </xf>
    <xf borderId="0" fillId="0" fontId="25" numFmtId="165" xfId="0" applyAlignment="1" applyFont="1" applyNumberFormat="1">
      <alignment horizontal="center" readingOrder="0" vertical="center"/>
    </xf>
    <xf borderId="82" fillId="0" fontId="46" numFmtId="3" xfId="0" applyAlignment="1" applyBorder="1" applyFont="1" applyNumberFormat="1">
      <alignment horizontal="right" vertical="center"/>
    </xf>
    <xf borderId="0" fillId="0" fontId="25" numFmtId="0" xfId="0" applyAlignment="1" applyFont="1">
      <alignment horizontal="left" readingOrder="0" vertical="center"/>
    </xf>
    <xf borderId="42" fillId="14" fontId="48" numFmtId="3" xfId="0" applyAlignment="1" applyBorder="1" applyFill="1" applyFont="1" applyNumberFormat="1">
      <alignment horizontal="right" vertical="center"/>
    </xf>
    <xf borderId="90" fillId="22" fontId="22" numFmtId="0" xfId="0" applyAlignment="1" applyBorder="1" applyFill="1" applyFont="1">
      <alignment horizontal="center" readingOrder="0" vertical="center"/>
    </xf>
    <xf borderId="0" fillId="0" fontId="25" numFmtId="1" xfId="0" applyAlignment="1" applyFont="1" applyNumberFormat="1">
      <alignment horizontal="center" readingOrder="0" vertical="center"/>
    </xf>
    <xf borderId="0" fillId="0" fontId="25" numFmtId="166" xfId="0" applyAlignment="1" applyFont="1" applyNumberFormat="1">
      <alignment horizontal="right" readingOrder="0" vertical="center"/>
    </xf>
    <xf borderId="0" fillId="0" fontId="25" numFmtId="1" xfId="0" applyAlignment="1" applyFont="1" applyNumberFormat="1">
      <alignment horizontal="right" readingOrder="0" vertical="center"/>
    </xf>
    <xf borderId="0" fillId="0" fontId="25" numFmtId="164" xfId="0" applyAlignment="1" applyFont="1" applyNumberFormat="1">
      <alignment horizontal="right" readingOrder="0" vertical="center"/>
    </xf>
    <xf borderId="91" fillId="22" fontId="22" numFmtId="0" xfId="0" applyAlignment="1" applyBorder="1" applyFill="1" applyFont="1">
      <alignment horizontal="center" vertical="center"/>
    </xf>
    <xf borderId="91" fillId="22" fontId="22" numFmtId="0" xfId="0" applyAlignment="1" applyBorder="1" applyFill="1" applyFont="1">
      <alignment horizontal="center" readingOrder="0" vertical="center"/>
    </xf>
    <xf borderId="89" fillId="14" fontId="51" numFmtId="166" xfId="0" applyAlignment="1" applyBorder="1" applyFill="1" applyFont="1" applyNumberFormat="1">
      <alignment horizontal="right" readingOrder="0" vertical="center"/>
    </xf>
    <xf borderId="92" fillId="2" fontId="17" numFmtId="169" xfId="0" applyAlignment="1" applyBorder="1" applyFill="1" applyFont="1" applyNumberFormat="1">
      <alignment horizontal="center" vertical="center"/>
    </xf>
    <xf borderId="93" fillId="2" fontId="17" numFmtId="0" xfId="0" applyAlignment="1" applyBorder="1" applyFill="1" applyFont="1">
      <alignment horizontal="center" vertical="center"/>
    </xf>
    <xf borderId="78" fillId="2" fontId="47" numFmtId="168" xfId="0" applyAlignment="1" applyBorder="1" applyFill="1" applyFont="1" applyNumberFormat="1">
      <alignment horizontal="right" readingOrder="0" vertical="center"/>
    </xf>
    <xf borderId="91" fillId="22" fontId="22" numFmtId="3" xfId="0" applyAlignment="1" applyBorder="1" applyFill="1" applyFont="1" applyNumberFormat="1">
      <alignment horizontal="center" vertical="center"/>
    </xf>
    <xf borderId="94" fillId="22" fontId="22" numFmtId="166" xfId="0" applyAlignment="1" applyBorder="1" applyFill="1" applyFont="1" applyNumberFormat="1">
      <alignment horizontal="center" vertical="center"/>
    </xf>
    <xf borderId="42" fillId="14" fontId="17" numFmtId="0" xfId="0" applyAlignment="1" applyBorder="1" applyFill="1" applyFont="1">
      <alignment horizontal="center" readingOrder="0" vertical="center"/>
    </xf>
    <xf borderId="95" fillId="2" fontId="52" numFmtId="169" xfId="0" applyAlignment="1" applyBorder="1" applyFill="1" applyFont="1" applyNumberFormat="1">
      <alignment horizontal="center" vertical="center"/>
    </xf>
    <xf borderId="42" fillId="14" fontId="46" numFmtId="166" xfId="0" applyAlignment="1" applyBorder="1" applyFill="1" applyFont="1" applyNumberFormat="1">
      <alignment horizontal="right" readingOrder="0" vertical="center"/>
    </xf>
    <xf borderId="95" fillId="2" fontId="52" numFmtId="0" xfId="0" applyAlignment="1" applyBorder="1" applyFill="1" applyFont="1">
      <alignment horizontal="center" vertical="center"/>
    </xf>
    <xf borderId="42" fillId="14" fontId="46" numFmtId="3" xfId="0" applyAlignment="1" applyBorder="1" applyFill="1" applyFont="1" applyNumberFormat="1">
      <alignment horizontal="right" readingOrder="0" vertical="center"/>
    </xf>
    <xf borderId="96" fillId="0" fontId="5" numFmtId="0" xfId="0" applyBorder="1" applyFont="1"/>
    <xf borderId="97" fillId="23" fontId="17" numFmtId="0" xfId="0" applyAlignment="1" applyBorder="1" applyFill="1" applyFont="1">
      <alignment horizontal="center" readingOrder="0" vertical="center"/>
    </xf>
    <xf borderId="98" fillId="23" fontId="53" numFmtId="0" xfId="0" applyAlignment="1" applyBorder="1" applyFill="1" applyFont="1">
      <alignment horizontal="center" vertical="center"/>
    </xf>
    <xf borderId="99" fillId="2" fontId="2" numFmtId="0" xfId="0" applyBorder="1" applyFill="1" applyFont="1"/>
    <xf borderId="100" fillId="2" fontId="2" numFmtId="0" xfId="0" applyBorder="1" applyFill="1" applyFont="1"/>
    <xf borderId="101" fillId="11" fontId="54" numFmtId="0" xfId="0" applyAlignment="1" applyBorder="1" applyFill="1" applyFont="1">
      <alignment horizontal="center" readingOrder="0" vertical="center"/>
    </xf>
    <xf borderId="102" fillId="0" fontId="5" numFmtId="0" xfId="0" applyBorder="1" applyFont="1"/>
    <xf borderId="103" fillId="0" fontId="5" numFmtId="0" xfId="0" applyBorder="1" applyFont="1"/>
    <xf borderId="104" fillId="11" fontId="54" numFmtId="0" xfId="0" applyAlignment="1" applyBorder="1" applyFill="1" applyFont="1">
      <alignment horizontal="center" readingOrder="0" vertical="center"/>
    </xf>
    <xf borderId="105" fillId="0" fontId="5" numFmtId="0" xfId="0" applyBorder="1" applyFont="1"/>
    <xf borderId="99" fillId="2" fontId="2" numFmtId="0" xfId="0" applyAlignment="1" applyBorder="1" applyFill="1" applyFont="1">
      <alignment readingOrder="0"/>
    </xf>
    <xf borderId="100" fillId="2" fontId="2" numFmtId="0" xfId="0" applyAlignment="1" applyBorder="1" applyFill="1" applyFont="1">
      <alignment readingOrder="0"/>
    </xf>
    <xf borderId="42" fillId="2" fontId="46" numFmtId="166" xfId="0" applyAlignment="1" applyBorder="1" applyFill="1" applyFont="1" applyNumberFormat="1">
      <alignment horizontal="right" vertical="center"/>
    </xf>
    <xf borderId="42" fillId="2" fontId="46" numFmtId="3" xfId="0" applyAlignment="1" applyBorder="1" applyFill="1" applyFont="1" applyNumberFormat="1">
      <alignment horizontal="right" vertical="center"/>
    </xf>
    <xf borderId="75" fillId="6" fontId="20" numFmtId="0" xfId="0" applyAlignment="1" applyBorder="1" applyFill="1" applyFont="1">
      <alignment horizontal="center" readingOrder="0" vertical="center"/>
    </xf>
    <xf borderId="106" fillId="24" fontId="23" numFmtId="0" xfId="0" applyAlignment="1" applyBorder="1" applyFill="1" applyFont="1">
      <alignment horizontal="center" readingOrder="0" vertical="center"/>
    </xf>
    <xf borderId="107" fillId="19" fontId="10" numFmtId="0" xfId="0" applyAlignment="1" applyBorder="1" applyFill="1" applyFont="1">
      <alignment horizontal="center" readingOrder="0" vertical="center"/>
    </xf>
    <xf borderId="108" fillId="0" fontId="5" numFmtId="0" xfId="0" applyBorder="1" applyFont="1"/>
    <xf borderId="109" fillId="24" fontId="23" numFmtId="0" xfId="0" applyAlignment="1" applyBorder="1" applyFill="1" applyFont="1">
      <alignment horizontal="center" vertical="center"/>
    </xf>
    <xf borderId="110" fillId="2" fontId="20" numFmtId="0" xfId="0" applyAlignment="1" applyBorder="1" applyFill="1" applyFont="1">
      <alignment horizontal="center" readingOrder="0" vertical="center"/>
    </xf>
    <xf borderId="109" fillId="24" fontId="23" numFmtId="0" xfId="0" applyAlignment="1" applyBorder="1" applyFill="1" applyFont="1">
      <alignment horizontal="center" readingOrder="0" vertical="center"/>
    </xf>
    <xf borderId="109" fillId="24" fontId="23" numFmtId="170" xfId="0" applyAlignment="1" applyBorder="1" applyFill="1" applyFont="1" applyNumberFormat="1">
      <alignment horizontal="center" vertical="center"/>
    </xf>
    <xf borderId="80" fillId="0" fontId="48" numFmtId="0" xfId="0" applyAlignment="1" applyBorder="1" applyFont="1">
      <alignment horizontal="center" vertical="center"/>
    </xf>
    <xf borderId="109" fillId="24" fontId="23" numFmtId="164" xfId="0" applyAlignment="1" applyBorder="1" applyFill="1" applyFont="1" applyNumberFormat="1">
      <alignment horizontal="center" vertical="center"/>
    </xf>
    <xf borderId="107" fillId="0" fontId="48" numFmtId="0" xfId="0" applyAlignment="1" applyBorder="1" applyFont="1">
      <alignment horizontal="center" vertical="center"/>
    </xf>
    <xf borderId="111" fillId="24" fontId="23" numFmtId="0" xfId="0" applyAlignment="1" applyBorder="1" applyFill="1" applyFont="1">
      <alignment horizontal="center" vertical="center"/>
    </xf>
    <xf borderId="112" fillId="2" fontId="55" numFmtId="169" xfId="0" applyAlignment="1" applyBorder="1" applyFill="1" applyFont="1" applyNumberFormat="1">
      <alignment horizontal="center" vertical="center"/>
    </xf>
    <xf borderId="112" fillId="2" fontId="55" numFmtId="0" xfId="0" applyAlignment="1" applyBorder="1" applyFill="1" applyFont="1">
      <alignment horizontal="center" vertical="center"/>
    </xf>
    <xf borderId="82" fillId="0" fontId="48" numFmtId="0" xfId="0" applyAlignment="1" applyBorder="1" applyFont="1">
      <alignment horizontal="center" vertical="center"/>
    </xf>
    <xf borderId="79" fillId="3" fontId="20" numFmtId="0" xfId="0" applyAlignment="1" applyBorder="1" applyFill="1" applyFont="1">
      <alignment horizontal="center" readingOrder="0" vertical="center"/>
    </xf>
    <xf borderId="113" fillId="0" fontId="5" numFmtId="0" xfId="0" applyBorder="1" applyFont="1"/>
    <xf borderId="82" fillId="0" fontId="48" numFmtId="3" xfId="0" applyAlignment="1" applyBorder="1" applyFont="1" applyNumberFormat="1">
      <alignment horizontal="center" vertical="center"/>
    </xf>
    <xf borderId="114" fillId="23" fontId="17" numFmtId="0" xfId="0" applyAlignment="1" applyBorder="1" applyFill="1" applyFont="1">
      <alignment horizontal="center" readingOrder="0" vertical="center"/>
    </xf>
    <xf borderId="84" fillId="0" fontId="48" numFmtId="0" xfId="0" applyAlignment="1" applyBorder="1" applyFont="1">
      <alignment horizontal="center" vertical="center"/>
    </xf>
    <xf borderId="115" fillId="23" fontId="53" numFmtId="0" xfId="0" applyAlignment="1" applyBorder="1" applyFill="1" applyFont="1">
      <alignment horizontal="center" vertical="center"/>
    </xf>
    <xf borderId="31" fillId="2" fontId="56" numFmtId="0" xfId="0" applyAlignment="1" applyBorder="1" applyFill="1" applyFont="1">
      <alignment horizontal="center" vertical="center"/>
    </xf>
    <xf borderId="116" fillId="2" fontId="17" numFmtId="0" xfId="0" applyAlignment="1" applyBorder="1" applyFill="1" applyFont="1">
      <alignment horizontal="center" readingOrder="0" vertical="center"/>
    </xf>
    <xf borderId="117" fillId="2" fontId="57" numFmtId="0" xfId="0" applyAlignment="1" applyBorder="1" applyFill="1" applyFont="1">
      <alignment horizontal="center" vertical="center"/>
    </xf>
    <xf borderId="110" fillId="2" fontId="56" numFmtId="0" xfId="0" applyAlignment="1" applyBorder="1" applyFill="1" applyFont="1">
      <alignment horizontal="center" vertical="center"/>
    </xf>
    <xf borderId="118" fillId="2" fontId="57" numFmtId="0" xfId="0" applyAlignment="1" applyBorder="1" applyFill="1" applyFont="1">
      <alignment horizontal="center" vertical="center"/>
    </xf>
    <xf borderId="110" fillId="2" fontId="48" numFmtId="0" xfId="0" applyAlignment="1" applyBorder="1" applyFill="1" applyFont="1">
      <alignment horizontal="center" vertical="center"/>
    </xf>
    <xf borderId="59" fillId="17" fontId="33" numFmtId="0" xfId="0" applyAlignment="1" applyBorder="1" applyFill="1" applyFont="1">
      <alignment horizontal="left" readingOrder="0" vertical="center"/>
    </xf>
    <xf borderId="119" fillId="21" fontId="58" numFmtId="0" xfId="0" applyAlignment="1" applyBorder="1" applyFill="1" applyFont="1">
      <alignment horizontal="center" readingOrder="0" vertical="center"/>
    </xf>
    <xf borderId="120" fillId="0" fontId="5" numFmtId="0" xfId="0" applyBorder="1" applyFont="1"/>
    <xf borderId="121" fillId="0" fontId="5" numFmtId="0" xfId="0" applyBorder="1" applyFont="1"/>
    <xf borderId="122" fillId="21" fontId="58" numFmtId="0" xfId="0" applyAlignment="1" applyBorder="1" applyFill="1" applyFont="1">
      <alignment horizontal="center" readingOrder="0" vertical="center"/>
    </xf>
    <xf borderId="123" fillId="0" fontId="5" numFmtId="0" xfId="0" applyBorder="1" applyFont="1"/>
    <xf borderId="117" fillId="2" fontId="59" numFmtId="0" xfId="0" applyAlignment="1" applyBorder="1" applyFill="1" applyFont="1">
      <alignment horizontal="center" readingOrder="0" vertical="center"/>
    </xf>
    <xf borderId="124" fillId="25" fontId="60" numFmtId="0" xfId="0" applyAlignment="1" applyBorder="1" applyFill="1" applyFont="1">
      <alignment horizontal="center" readingOrder="0" vertical="center"/>
    </xf>
    <xf borderId="125" fillId="0" fontId="5" numFmtId="0" xfId="0" applyBorder="1" applyFont="1"/>
    <xf borderId="118" fillId="2" fontId="59" numFmtId="0" xfId="0" applyAlignment="1" applyBorder="1" applyFill="1" applyFont="1">
      <alignment horizontal="center" readingOrder="0" vertical="center"/>
    </xf>
    <xf borderId="126" fillId="0" fontId="5" numFmtId="0" xfId="0" applyBorder="1" applyFont="1"/>
    <xf borderId="90" fillId="0" fontId="48" numFmtId="0" xfId="0" applyAlignment="1" applyBorder="1" applyFont="1">
      <alignment horizontal="center" vertical="center"/>
    </xf>
    <xf borderId="104" fillId="0" fontId="48" numFmtId="0" xfId="0" applyAlignment="1" applyBorder="1" applyFont="1">
      <alignment horizontal="center" vertical="center"/>
    </xf>
    <xf borderId="91" fillId="0" fontId="48" numFmtId="0" xfId="0" applyAlignment="1" applyBorder="1" applyFont="1">
      <alignment horizontal="center" vertical="center"/>
    </xf>
    <xf borderId="0" fillId="2" fontId="20" numFmtId="0" xfId="0" applyAlignment="1" applyFill="1" applyFont="1">
      <alignment horizontal="left" readingOrder="0" vertical="center"/>
    </xf>
    <xf borderId="94" fillId="0" fontId="48" numFmtId="0" xfId="0" applyAlignment="1" applyBorder="1" applyFont="1">
      <alignment horizontal="center" vertical="center"/>
    </xf>
    <xf borderId="57" fillId="26" fontId="61" numFmtId="0" xfId="0" applyAlignment="1" applyBorder="1" applyFill="1" applyFont="1">
      <alignment horizontal="center" readingOrder="0" vertical="center"/>
    </xf>
    <xf borderId="39" fillId="20" fontId="10" numFmtId="0" xfId="0" applyAlignment="1" applyBorder="1" applyFill="1" applyFont="1">
      <alignment horizontal="center" readingOrder="0" vertical="center"/>
    </xf>
    <xf borderId="127" fillId="2" fontId="40" numFmtId="0" xfId="0" applyAlignment="1" applyBorder="1" applyFill="1" applyFont="1">
      <alignment horizontal="center" readingOrder="0" vertical="center"/>
    </xf>
    <xf borderId="128" fillId="2" fontId="10" numFmtId="0" xfId="0" applyAlignment="1" applyBorder="1" applyFill="1" applyFont="1">
      <alignment horizontal="center" readingOrder="0" vertical="center"/>
    </xf>
    <xf borderId="127" fillId="2" fontId="41" numFmtId="0" xfId="0" applyAlignment="1" applyBorder="1" applyFill="1" applyFont="1">
      <alignment horizontal="center" readingOrder="0" vertical="center"/>
    </xf>
    <xf borderId="127" fillId="2" fontId="42" numFmtId="0" xfId="0" applyAlignment="1" applyBorder="1" applyFill="1" applyFont="1">
      <alignment horizontal="left" readingOrder="0" shrinkToFit="0" vertical="center" wrapText="1"/>
    </xf>
    <xf borderId="129" fillId="2" fontId="20" numFmtId="0" xfId="0" applyAlignment="1" applyBorder="1" applyFill="1" applyFont="1">
      <alignment horizontal="center" readingOrder="0" vertical="center"/>
    </xf>
    <xf borderId="127" fillId="2" fontId="43" numFmtId="0" xfId="0" applyAlignment="1" applyBorder="1" applyFill="1" applyFont="1">
      <alignment horizontal="left" readingOrder="0" shrinkToFit="0" vertical="center" wrapText="1"/>
    </xf>
    <xf borderId="127" fillId="2" fontId="45" numFmtId="0" xfId="0" applyAlignment="1" applyBorder="1" applyFill="1" applyFont="1">
      <alignment horizontal="center" readingOrder="0" vertical="center"/>
    </xf>
    <xf borderId="127" fillId="2" fontId="47" numFmtId="168" xfId="0" applyAlignment="1" applyBorder="1" applyFill="1" applyFont="1" applyNumberFormat="1">
      <alignment horizontal="right" vertical="center"/>
    </xf>
    <xf borderId="0" fillId="0" fontId="17" numFmtId="0" xfId="0" applyAlignment="1" applyFont="1">
      <alignment horizontal="center" vertical="center"/>
    </xf>
    <xf borderId="87" fillId="0" fontId="48" numFmtId="0" xfId="0" applyAlignment="1" applyBorder="1" applyFont="1">
      <alignment horizontal="center" vertical="center"/>
    </xf>
    <xf borderId="39" fillId="0" fontId="48" numFmtId="0" xfId="0" applyAlignment="1" applyBorder="1" applyFont="1">
      <alignment horizontal="center" vertical="center"/>
    </xf>
    <xf borderId="130" fillId="15" fontId="62" numFmtId="0" xfId="0" applyAlignment="1" applyBorder="1" applyFill="1" applyFont="1">
      <alignment horizontal="center" vertical="center"/>
    </xf>
    <xf borderId="131" fillId="0" fontId="5" numFmtId="0" xfId="0" applyBorder="1" applyFont="1"/>
    <xf borderId="42" fillId="0" fontId="48" numFmtId="0" xfId="0" applyAlignment="1" applyBorder="1" applyFont="1">
      <alignment horizontal="center" vertical="center"/>
    </xf>
    <xf borderId="132" fillId="0" fontId="5" numFmtId="0" xfId="0" applyBorder="1" applyFont="1"/>
    <xf borderId="133" fillId="18" fontId="40" numFmtId="0" xfId="0" applyAlignment="1" applyBorder="1" applyFill="1" applyFont="1">
      <alignment horizontal="center" readingOrder="0" vertical="center"/>
    </xf>
    <xf borderId="133" fillId="18" fontId="41" numFmtId="0" xfId="0" applyAlignment="1" applyBorder="1" applyFill="1" applyFont="1">
      <alignment horizontal="center" readingOrder="0" vertical="center"/>
    </xf>
    <xf borderId="133" fillId="18" fontId="42" numFmtId="0" xfId="0" applyAlignment="1" applyBorder="1" applyFill="1" applyFont="1">
      <alignment horizontal="left" readingOrder="0" shrinkToFit="0" vertical="center" wrapText="1"/>
    </xf>
    <xf borderId="133" fillId="18" fontId="43" numFmtId="0" xfId="0" applyAlignment="1" applyBorder="1" applyFill="1" applyFont="1">
      <alignment horizontal="left" readingOrder="0" shrinkToFit="0" vertical="center" wrapText="1"/>
    </xf>
    <xf borderId="89" fillId="0" fontId="48" numFmtId="0" xfId="0" applyAlignment="1" applyBorder="1" applyFont="1">
      <alignment horizontal="center" vertical="center"/>
    </xf>
    <xf borderId="133" fillId="18" fontId="45" numFmtId="0" xfId="0" applyAlignment="1" applyBorder="1" applyFill="1" applyFont="1">
      <alignment horizontal="center" readingOrder="0" vertical="center"/>
    </xf>
    <xf borderId="134" fillId="2" fontId="48" numFmtId="0" xfId="0" applyAlignment="1" applyBorder="1" applyFill="1" applyFont="1">
      <alignment horizontal="center" vertical="center"/>
    </xf>
    <xf borderId="133" fillId="18" fontId="47" numFmtId="168" xfId="0" applyAlignment="1" applyBorder="1" applyFill="1" applyFont="1" applyNumberFormat="1">
      <alignment horizontal="right" vertical="center"/>
    </xf>
    <xf borderId="129" fillId="2" fontId="17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135" fillId="0" fontId="49" numFmtId="0" xfId="0" applyAlignment="1" applyBorder="1" applyFont="1">
      <alignment horizontal="center" vertical="center"/>
    </xf>
    <xf borderId="135" fillId="0" fontId="50" numFmtId="0" xfId="0" applyAlignment="1" applyBorder="1" applyFont="1">
      <alignment horizontal="center" readingOrder="0" vertical="center"/>
    </xf>
    <xf borderId="0" fillId="15" fontId="62" numFmtId="0" xfId="0" applyAlignment="1" applyFill="1" applyFont="1">
      <alignment horizontal="center" vertical="center"/>
    </xf>
    <xf borderId="0" fillId="0" fontId="63" numFmtId="0" xfId="0" applyAlignment="1" applyFont="1">
      <alignment readingOrder="0"/>
    </xf>
    <xf borderId="64" fillId="2" fontId="5" numFmtId="0" xfId="0" applyBorder="1" applyFill="1" applyFont="1"/>
    <xf borderId="0" fillId="0" fontId="17" numFmtId="0" xfId="0" applyAlignment="1" applyFont="1">
      <alignment readingOrder="0"/>
    </xf>
    <xf borderId="136" fillId="18" fontId="40" numFmtId="0" xfId="0" applyAlignment="1" applyBorder="1" applyFill="1" applyFont="1">
      <alignment horizontal="center" readingOrder="0" vertical="center"/>
    </xf>
    <xf borderId="136" fillId="18" fontId="41" numFmtId="0" xfId="0" applyAlignment="1" applyBorder="1" applyFill="1" applyFont="1">
      <alignment horizontal="center" readingOrder="0" vertical="center"/>
    </xf>
    <xf borderId="136" fillId="18" fontId="42" numFmtId="0" xfId="0" applyAlignment="1" applyBorder="1" applyFill="1" applyFont="1">
      <alignment horizontal="left" readingOrder="0" shrinkToFit="0" vertical="center" wrapText="1"/>
    </xf>
    <xf borderId="136" fillId="18" fontId="43" numFmtId="0" xfId="0" applyAlignment="1" applyBorder="1" applyFill="1" applyFont="1">
      <alignment horizontal="left" readingOrder="0" shrinkToFit="0" vertical="center" wrapText="1"/>
    </xf>
    <xf borderId="136" fillId="18" fontId="45" numFmtId="0" xfId="0" applyAlignment="1" applyBorder="1" applyFill="1" applyFont="1">
      <alignment horizontal="center" readingOrder="0" vertical="center"/>
    </xf>
    <xf borderId="136" fillId="18" fontId="47" numFmtId="168" xfId="0" applyAlignment="1" applyBorder="1" applyFill="1" applyFont="1" applyNumberFormat="1">
      <alignment horizontal="right" vertical="center"/>
    </xf>
    <xf borderId="0" fillId="0" fontId="63" numFmtId="0" xfId="0" applyAlignment="1" applyFont="1">
      <alignment readingOrder="0"/>
    </xf>
    <xf borderId="0" fillId="0" fontId="17" numFmtId="0" xfId="0" applyAlignment="1" applyFont="1">
      <alignment readingOrder="0"/>
    </xf>
    <xf borderId="106" fillId="0" fontId="48" numFmtId="0" xfId="0" applyAlignment="1" applyBorder="1" applyFont="1">
      <alignment horizontal="center" vertical="center"/>
    </xf>
    <xf borderId="122" fillId="0" fontId="48" numFmtId="0" xfId="0" applyAlignment="1" applyBorder="1" applyFont="1">
      <alignment horizontal="center" vertical="center"/>
    </xf>
    <xf borderId="109" fillId="0" fontId="48" numFmtId="0" xfId="0" applyAlignment="1" applyBorder="1" applyFont="1">
      <alignment horizontal="center" vertical="center"/>
    </xf>
    <xf borderId="111" fillId="0" fontId="48" numFmtId="0" xfId="0" applyAlignment="1" applyBorder="1" applyFont="1">
      <alignment horizontal="center" vertical="center"/>
    </xf>
    <xf borderId="86" fillId="0" fontId="64" numFmtId="0" xfId="0" applyAlignment="1" applyBorder="1" applyFont="1">
      <alignment horizontal="center" vertical="center"/>
    </xf>
    <xf borderId="0" fillId="0" fontId="17" numFmtId="165" xfId="0" applyAlignment="1" applyFont="1" applyNumberFormat="1">
      <alignment horizontal="center" readingOrder="0"/>
    </xf>
    <xf borderId="0" fillId="0" fontId="17" numFmtId="1" xfId="0" applyAlignment="1" applyFont="1" applyNumberFormat="1">
      <alignment horizontal="right" readingOrder="0"/>
    </xf>
    <xf borderId="0" fillId="0" fontId="17" numFmtId="171" xfId="0" applyAlignment="1" applyFont="1" applyNumberFormat="1">
      <alignment horizontal="right" readingOrder="0"/>
    </xf>
    <xf borderId="127" fillId="18" fontId="40" numFmtId="0" xfId="0" applyAlignment="1" applyBorder="1" applyFill="1" applyFont="1">
      <alignment horizontal="center" readingOrder="0" vertical="center"/>
    </xf>
    <xf borderId="127" fillId="18" fontId="41" numFmtId="0" xfId="0" applyAlignment="1" applyBorder="1" applyFill="1" applyFont="1">
      <alignment horizontal="center" readingOrder="0" vertical="center"/>
    </xf>
    <xf borderId="127" fillId="18" fontId="42" numFmtId="0" xfId="0" applyAlignment="1" applyBorder="1" applyFill="1" applyFont="1">
      <alignment horizontal="left" readingOrder="0" shrinkToFit="0" vertical="center" wrapText="1"/>
    </xf>
    <xf borderId="127" fillId="18" fontId="43" numFmtId="0" xfId="0" applyAlignment="1" applyBorder="1" applyFill="1" applyFont="1">
      <alignment horizontal="left" readingOrder="0" shrinkToFit="0" vertical="center" wrapText="1"/>
    </xf>
    <xf borderId="127" fillId="18" fontId="45" numFmtId="0" xfId="0" applyAlignment="1" applyBorder="1" applyFill="1" applyFont="1">
      <alignment horizontal="center" readingOrder="0" vertical="center"/>
    </xf>
    <xf borderId="127" fillId="18" fontId="47" numFmtId="168" xfId="0" applyAlignment="1" applyBorder="1" applyFill="1" applyFont="1" applyNumberFormat="1">
      <alignment horizontal="right" vertical="center"/>
    </xf>
    <xf borderId="133" fillId="2" fontId="40" numFmtId="0" xfId="0" applyAlignment="1" applyBorder="1" applyFill="1" applyFont="1">
      <alignment horizontal="center" readingOrder="0" vertical="center"/>
    </xf>
    <xf borderId="133" fillId="2" fontId="41" numFmtId="0" xfId="0" applyAlignment="1" applyBorder="1" applyFill="1" applyFont="1">
      <alignment horizontal="center" readingOrder="0" vertical="center"/>
    </xf>
    <xf borderId="133" fillId="2" fontId="42" numFmtId="0" xfId="0" applyAlignment="1" applyBorder="1" applyFill="1" applyFont="1">
      <alignment horizontal="left" readingOrder="0" shrinkToFit="0" vertical="center" wrapText="1"/>
    </xf>
    <xf borderId="133" fillId="2" fontId="43" numFmtId="0" xfId="0" applyAlignment="1" applyBorder="1" applyFill="1" applyFont="1">
      <alignment horizontal="left" readingOrder="0" shrinkToFit="0" vertical="center" wrapText="1"/>
    </xf>
    <xf borderId="133" fillId="2" fontId="45" numFmtId="0" xfId="0" applyAlignment="1" applyBorder="1" applyFill="1" applyFont="1">
      <alignment horizontal="center" readingOrder="0" vertical="center"/>
    </xf>
    <xf borderId="133" fillId="2" fontId="47" numFmtId="168" xfId="0" applyAlignment="1" applyBorder="1" applyFill="1" applyFont="1" applyNumberFormat="1">
      <alignment horizontal="right" vertical="center"/>
    </xf>
    <xf borderId="135" fillId="0" fontId="65" numFmtId="0" xfId="0" applyAlignment="1" applyBorder="1" applyFont="1">
      <alignment horizontal="center" vertical="center"/>
    </xf>
    <xf borderId="136" fillId="2" fontId="40" numFmtId="0" xfId="0" applyAlignment="1" applyBorder="1" applyFill="1" applyFont="1">
      <alignment horizontal="center" readingOrder="0" vertical="center"/>
    </xf>
    <xf borderId="136" fillId="2" fontId="41" numFmtId="0" xfId="0" applyAlignment="1" applyBorder="1" applyFill="1" applyFont="1">
      <alignment horizontal="center" readingOrder="0" vertical="center"/>
    </xf>
    <xf borderId="136" fillId="2" fontId="42" numFmtId="0" xfId="0" applyAlignment="1" applyBorder="1" applyFill="1" applyFont="1">
      <alignment horizontal="left" readingOrder="0" shrinkToFit="0" vertical="center" wrapText="1"/>
    </xf>
    <xf borderId="136" fillId="2" fontId="43" numFmtId="0" xfId="0" applyAlignment="1" applyBorder="1" applyFill="1" applyFont="1">
      <alignment horizontal="left" readingOrder="0" shrinkToFit="0" vertical="center" wrapText="1"/>
    </xf>
    <xf borderId="136" fillId="2" fontId="45" numFmtId="0" xfId="0" applyAlignment="1" applyBorder="1" applyFill="1" applyFont="1">
      <alignment horizontal="center" readingOrder="0" vertical="center"/>
    </xf>
    <xf borderId="136" fillId="2" fontId="47" numFmtId="168" xfId="0" applyAlignment="1" applyBorder="1" applyFill="1" applyFont="1" applyNumberFormat="1">
      <alignment horizontal="right" vertical="center"/>
    </xf>
    <xf borderId="136" fillId="2" fontId="47" numFmtId="168" xfId="0" applyAlignment="1" applyBorder="1" applyFill="1" applyFont="1" applyNumberFormat="1">
      <alignment horizontal="right" readingOrder="0" vertical="center"/>
    </xf>
    <xf borderId="136" fillId="18" fontId="47" numFmtId="168" xfId="0" applyAlignment="1" applyBorder="1" applyFill="1" applyFont="1" applyNumberFormat="1">
      <alignment horizontal="right" readingOrder="0" vertical="center"/>
    </xf>
    <xf borderId="85" fillId="0" fontId="17" numFmtId="0" xfId="0" applyAlignment="1" applyBorder="1" applyFont="1">
      <alignment horizontal="center" readingOrder="0" vertical="center"/>
    </xf>
    <xf borderId="85" fillId="0" fontId="41" numFmtId="0" xfId="0" applyAlignment="1" applyBorder="1" applyFont="1">
      <alignment horizontal="center" readingOrder="0" vertical="center"/>
    </xf>
    <xf borderId="85" fillId="0" fontId="42" numFmtId="0" xfId="0" applyAlignment="1" applyBorder="1" applyFont="1">
      <alignment horizontal="left" readingOrder="0" shrinkToFit="0" vertical="center" wrapText="1"/>
    </xf>
    <xf borderId="85" fillId="0" fontId="43" numFmtId="0" xfId="0" applyAlignment="1" applyBorder="1" applyFont="1">
      <alignment horizontal="left" readingOrder="0" shrinkToFit="0" vertical="center" wrapText="1"/>
    </xf>
    <xf borderId="85" fillId="0" fontId="45" numFmtId="0" xfId="0" applyAlignment="1" applyBorder="1" applyFont="1">
      <alignment horizontal="center" readingOrder="0" vertical="center"/>
    </xf>
    <xf borderId="85" fillId="0" fontId="47" numFmtId="168" xfId="0" applyAlignment="1" applyBorder="1" applyFont="1" applyNumberFormat="1">
      <alignment horizontal="right" vertical="center"/>
    </xf>
    <xf borderId="0" fillId="0" fontId="41" numFmtId="0" xfId="0" applyAlignment="1" applyFont="1">
      <alignment horizontal="center" readingOrder="0" vertical="center"/>
    </xf>
    <xf borderId="0" fillId="0" fontId="42" numFmtId="0" xfId="0" applyAlignment="1" applyFont="1">
      <alignment horizontal="left" readingOrder="0" shrinkToFit="0" vertical="center" wrapText="1"/>
    </xf>
    <xf borderId="0" fillId="0" fontId="43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horizontal="center" readingOrder="0" vertical="center"/>
    </xf>
    <xf borderId="0" fillId="0" fontId="47" numFmtId="168" xfId="0" applyAlignment="1" applyFont="1" applyNumberFormat="1">
      <alignment horizontal="right" vertical="center"/>
    </xf>
    <xf borderId="0" fillId="0" fontId="49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5.75"/>
    <col customWidth="1" min="3" max="3" width="5.13"/>
    <col customWidth="1" min="4" max="4" width="30.13"/>
    <col customWidth="1" min="5" max="5" width="22.63"/>
    <col customWidth="1" min="6" max="6" width="13.88"/>
    <col customWidth="1" min="7" max="10" width="12.0"/>
    <col customWidth="1" min="11" max="11" width="18.88"/>
    <col customWidth="1" min="12" max="12" width="27.63"/>
    <col customWidth="1" min="13" max="13" width="13.88"/>
    <col customWidth="1" min="14" max="14" width="3.25"/>
    <col customWidth="1" min="15" max="16" width="10.75"/>
    <col customWidth="1" min="17" max="17" width="17.0"/>
    <col customWidth="1" min="18" max="19" width="12.0"/>
  </cols>
  <sheetData>
    <row r="1" ht="6.75" customHeight="1"/>
    <row r="2" ht="19.5" customHeight="1">
      <c r="B2" s="9" t="s">
        <v>4</v>
      </c>
      <c r="F2" s="12" t="s">
        <v>2</v>
      </c>
      <c r="H2" s="12" t="s">
        <v>9</v>
      </c>
      <c r="J2" s="18" t="s">
        <v>10</v>
      </c>
      <c r="L2" s="19" t="s">
        <v>11</v>
      </c>
      <c r="O2" s="22" t="s">
        <v>12</v>
      </c>
      <c r="P2" s="23"/>
      <c r="Q2" s="23"/>
      <c r="R2" s="23"/>
      <c r="S2" s="24"/>
    </row>
    <row r="3" ht="21.0" customHeight="1">
      <c r="B3" s="25" t="s">
        <v>13</v>
      </c>
      <c r="F3" s="27" t="s">
        <v>14</v>
      </c>
      <c r="H3" s="27" t="str">
        <f>COUNTIF(M6:M41, "Active") &amp; " Movements"</f>
        <v>33 Movements</v>
      </c>
      <c r="I3" s="56"/>
      <c r="J3" s="69" t="str">
        <f>"✓ " &amp; COUNTIF(B6:B41, TRUE) &amp; " / " &amp; COUNTIF(M6:M41, "Active")</f>
        <v>✓ 5 / 33</v>
      </c>
      <c r="L3" s="76" t="str">
        <f>"Active: " &amp; COUNTIF(M6:M41, "Active") &amp; " | Arc: " &amp; COUNTIF(M6:M41, "Archived")</f>
        <v>Active: 33 | Arc: 0</v>
      </c>
      <c r="O3" s="82" t="s">
        <v>38</v>
      </c>
      <c r="P3" s="83"/>
      <c r="Q3" s="83"/>
      <c r="R3" s="83"/>
      <c r="S3" s="84"/>
    </row>
    <row r="4" ht="25.5" customHeight="1">
      <c r="B4" s="87" t="s">
        <v>41</v>
      </c>
      <c r="C4" s="87" t="s">
        <v>44</v>
      </c>
      <c r="D4" s="88" t="s">
        <v>45</v>
      </c>
      <c r="E4" s="88" t="s">
        <v>46</v>
      </c>
      <c r="F4" s="87" t="s">
        <v>47</v>
      </c>
      <c r="G4" s="91" t="s">
        <v>48</v>
      </c>
      <c r="H4" s="91" t="s">
        <v>50</v>
      </c>
      <c r="I4" s="91" t="s">
        <v>51</v>
      </c>
      <c r="J4" s="91" t="s">
        <v>52</v>
      </c>
      <c r="K4" s="94" t="s">
        <v>54</v>
      </c>
      <c r="L4" s="87" t="s">
        <v>55</v>
      </c>
      <c r="M4" s="87" t="s">
        <v>56</v>
      </c>
      <c r="O4" s="95" t="s">
        <v>57</v>
      </c>
      <c r="P4" s="96"/>
      <c r="Q4" s="97" t="s">
        <v>61</v>
      </c>
      <c r="R4" s="98"/>
      <c r="S4" s="99"/>
    </row>
    <row r="5" ht="24.0" customHeight="1">
      <c r="B5" s="101" t="s">
        <v>63</v>
      </c>
      <c r="C5" s="104"/>
      <c r="D5" s="104"/>
      <c r="E5" s="104"/>
      <c r="F5" s="104"/>
      <c r="G5" s="104"/>
      <c r="H5" s="104"/>
      <c r="I5" s="104"/>
      <c r="J5" s="104"/>
      <c r="K5" s="110"/>
      <c r="L5" s="110"/>
      <c r="M5" s="112"/>
      <c r="O5" s="95" t="s">
        <v>69</v>
      </c>
      <c r="P5" s="96"/>
      <c r="Q5" s="97" t="s">
        <v>71</v>
      </c>
      <c r="R5" s="98"/>
      <c r="S5" s="99"/>
    </row>
    <row r="6" ht="26.25" customHeight="1">
      <c r="B6" s="131" t="b">
        <v>0</v>
      </c>
      <c r="C6" s="132">
        <v>1.0</v>
      </c>
      <c r="D6" s="137" t="s">
        <v>75</v>
      </c>
      <c r="E6" s="140" t="s">
        <v>78</v>
      </c>
      <c r="F6" s="145" t="s">
        <v>80</v>
      </c>
      <c r="G6" s="150"/>
      <c r="H6" s="150"/>
      <c r="I6" s="150"/>
      <c r="J6" s="150"/>
      <c r="K6" s="157" t="str">
        <f>IFERROR(__xludf.DUMMYFUNCTION("IFERROR(IF(COUNT(G6:J6)&gt;=2, SPARKLINE(G6:J6, {""charttype"",""line"";""color"",""#3f5f90"";""linewidth"",2;""empty"",""ignore""}), IF(COUNT(G6:J6)=1, SPARKLINE(G6:J6, {""charttype"",""column"";""color"",""#3f5f90"";""ymin"",0}), ""-"")), ""-"")"),"-")</f>
        <v>-</v>
      </c>
      <c r="L6" s="158" t="str">
        <f>HYPERLINK("[link removed]", "🏃 Dynamic Mat • Guide")</f>
        <v>🏃 Dynamic Mat • Guide</v>
      </c>
      <c r="M6" s="159" t="s">
        <v>84</v>
      </c>
      <c r="O6" s="95" t="s">
        <v>85</v>
      </c>
      <c r="P6" s="96"/>
      <c r="Q6" s="97" t="s">
        <v>86</v>
      </c>
      <c r="R6" s="98"/>
      <c r="S6" s="99"/>
    </row>
    <row r="7" ht="26.25" customHeight="1">
      <c r="B7" s="165" t="b">
        <v>0</v>
      </c>
      <c r="C7" s="166">
        <v>2.0</v>
      </c>
      <c r="D7" s="168" t="s">
        <v>35</v>
      </c>
      <c r="E7" s="169" t="s">
        <v>90</v>
      </c>
      <c r="F7" s="170" t="s">
        <v>92</v>
      </c>
      <c r="G7" s="171">
        <v>7.5</v>
      </c>
      <c r="H7" s="171">
        <v>10.0</v>
      </c>
      <c r="I7" s="173"/>
      <c r="J7" s="173"/>
      <c r="K7" s="157" t="str">
        <f>IFERROR(__xludf.DUMMYFUNCTION("IFERROR(IF(COUNT(G7:J7)&gt;=2, SPARKLINE(G7:J7, {""charttype"",""line"";""color"",""#3f5f90"";""linewidth"",2;""empty"",""ignore""}), IF(COUNT(G7:J7)=1, SPARKLINE(G7:J7, {""charttype"",""column"";""color"",""#3f5f90"";""ymin"",0}), ""-"")), ""-"")"),"")</f>
        <v/>
      </c>
      <c r="L7" s="158" t="str">
        <f>HYPERLINK("https://exrx.net/WeightExercises/PectoralSternal/BBBenchPress", "🏋️ Barbell &amp; Bench • Guide")</f>
        <v>🏋️ Barbell &amp; Bench • Guide</v>
      </c>
      <c r="M7" s="159" t="s">
        <v>84</v>
      </c>
      <c r="O7" s="95" t="s">
        <v>98</v>
      </c>
      <c r="P7" s="96"/>
      <c r="Q7" s="97"/>
      <c r="R7" s="98"/>
      <c r="S7" s="99"/>
    </row>
    <row r="8" ht="26.25" customHeight="1">
      <c r="B8" s="131" t="b">
        <v>0</v>
      </c>
      <c r="C8" s="132">
        <v>3.0</v>
      </c>
      <c r="D8" s="137" t="s">
        <v>43</v>
      </c>
      <c r="E8" s="140" t="s">
        <v>101</v>
      </c>
      <c r="F8" s="145" t="s">
        <v>92</v>
      </c>
      <c r="G8" s="192">
        <v>30.0</v>
      </c>
      <c r="H8" s="192">
        <v>30.0</v>
      </c>
      <c r="I8" s="150"/>
      <c r="J8" s="150"/>
      <c r="K8" s="157" t="str">
        <f>IFERROR(__xludf.DUMMYFUNCTION("IFERROR(IF(COUNT(G8:J8)&gt;=2, SPARKLINE(G8:J8, {""charttype"",""line"";""color"",""#3f5f90"";""linewidth"",2;""empty"",""ignore""}), IF(COUNT(G8:J8)=1, SPARKLINE(G8:J8, {""charttype"",""column"";""color"",""#3f5f90"";""ymin"",0}), ""-"")), ""-"")"),"")</f>
        <v/>
      </c>
      <c r="L8" s="158" t="str">
        <f>HYPERLINK("[link removed]", "🪜 Cable Pulldown • Guide")</f>
        <v>🪜 Cable Pulldown • Guide</v>
      </c>
      <c r="M8" s="159" t="s">
        <v>84</v>
      </c>
      <c r="O8" s="95" t="s">
        <v>104</v>
      </c>
      <c r="P8" s="96"/>
      <c r="Q8" s="97" t="s">
        <v>106</v>
      </c>
      <c r="R8" s="98"/>
      <c r="S8" s="99"/>
    </row>
    <row r="9" ht="26.25" customHeight="1">
      <c r="B9" s="165" t="b">
        <v>0</v>
      </c>
      <c r="C9" s="166">
        <v>4.0</v>
      </c>
      <c r="D9" s="168" t="s">
        <v>58</v>
      </c>
      <c r="E9" s="169" t="s">
        <v>109</v>
      </c>
      <c r="F9" s="170" t="s">
        <v>106</v>
      </c>
      <c r="G9" s="171">
        <v>5.0</v>
      </c>
      <c r="H9" s="171">
        <v>7.5</v>
      </c>
      <c r="I9" s="173"/>
      <c r="J9" s="173"/>
      <c r="K9" s="157" t="str">
        <f>IFERROR(__xludf.DUMMYFUNCTION("IFERROR(IF(COUNT(G9:J9)&gt;=2, SPARKLINE(G9:J9, {""charttype"",""line"";""color"",""#3f5f90"";""linewidth"",2;""empty"",""ignore""}), IF(COUNT(G9:J9)=1, SPARKLINE(G9:J9, {""charttype"",""column"";""color"",""#3f5f90"";""ymin"",0}), ""-"")), ""-"")"),"")</f>
        <v/>
      </c>
      <c r="L9" s="158" t="str">
        <f>HYPERLINK("https://exrx.net/WeightExercises/DeltoidAnterior/DBShoulderPress", "🏋️ Dumbbells • Guide")</f>
        <v>🏋️ Dumbbells • Guide</v>
      </c>
      <c r="M9" s="159" t="s">
        <v>84</v>
      </c>
      <c r="O9" s="95" t="s">
        <v>113</v>
      </c>
      <c r="P9" s="96"/>
      <c r="Q9" s="97"/>
      <c r="R9" s="98"/>
      <c r="S9" s="99"/>
    </row>
    <row r="10" ht="26.25" customHeight="1">
      <c r="B10" s="131" t="b">
        <v>0</v>
      </c>
      <c r="C10" s="132">
        <v>5.0</v>
      </c>
      <c r="D10" s="137" t="s">
        <v>62</v>
      </c>
      <c r="E10" s="140" t="s">
        <v>117</v>
      </c>
      <c r="F10" s="145" t="s">
        <v>118</v>
      </c>
      <c r="G10" s="192">
        <v>11.0</v>
      </c>
      <c r="H10" s="192">
        <v>18.0</v>
      </c>
      <c r="I10" s="150"/>
      <c r="J10" s="150"/>
      <c r="K10" s="157" t="str">
        <f>IFERROR(__xludf.DUMMYFUNCTION("IFERROR(IF(COUNT(G10:J10)&gt;=2, SPARKLINE(G10:J10, {""charttype"",""line"";""color"",""#3f5f90"";""linewidth"",2;""empty"",""ignore""}), IF(COUNT(G10:J10)=1, SPARKLINE(G10:J10, {""charttype"",""column"";""color"",""#3f5f90"";""ymin"",0}), ""-"")), ""-"")"),"")</f>
        <v/>
      </c>
      <c r="L10" s="158" t="str">
        <f>HYPERLINK("https://exrx.net/WeightExercises/Biceps/DBCurl", "🏋️ Dumbbells • Guide")</f>
        <v>🏋️ Dumbbells • Guide</v>
      </c>
      <c r="M10" s="159" t="s">
        <v>84</v>
      </c>
      <c r="O10" s="95" t="s">
        <v>121</v>
      </c>
      <c r="P10" s="96"/>
      <c r="Q10" s="97" t="s">
        <v>84</v>
      </c>
      <c r="R10" s="98"/>
      <c r="S10" s="99"/>
    </row>
    <row r="11" ht="26.25" customHeight="1">
      <c r="B11" s="165" t="b">
        <v>0</v>
      </c>
      <c r="C11" s="166">
        <v>6.0</v>
      </c>
      <c r="D11" s="168" t="s">
        <v>122</v>
      </c>
      <c r="E11" s="169" t="s">
        <v>123</v>
      </c>
      <c r="F11" s="170" t="s">
        <v>92</v>
      </c>
      <c r="G11" s="171">
        <v>10.0</v>
      </c>
      <c r="H11" s="171"/>
      <c r="I11" s="173"/>
      <c r="J11" s="173"/>
      <c r="K11" s="157" t="str">
        <f>IFERROR(__xludf.DUMMYFUNCTION("IFERROR(IF(COUNT(G11:J11)&gt;=2, SPARKLINE(G11:J11, {""charttype"",""line"";""color"",""#3f5f90"";""linewidth"",2;""empty"",""ignore""}), IF(COUNT(G11:J11)=1, SPARKLINE(G11:J11, {""charttype"",""column"";""color"",""#3f5f90"";""ymin"",0}), ""-"")), ""-"")"),"")</f>
        <v/>
      </c>
      <c r="L11" s="158" t="str">
        <f>HYPERLINK("https://exrx.net/WeightExercises/Quadriceps/DBSquat", "🏋️ Kettlebell / DB • Guide")</f>
        <v>🏋️ Kettlebell / DB • Guide</v>
      </c>
      <c r="M11" s="159" t="s">
        <v>84</v>
      </c>
      <c r="O11" s="95" t="s">
        <v>126</v>
      </c>
      <c r="P11" s="96"/>
      <c r="Q11" s="236" t="b">
        <v>0</v>
      </c>
      <c r="R11" s="241" t="s">
        <v>129</v>
      </c>
      <c r="S11" s="99"/>
    </row>
    <row r="12" ht="26.25" customHeight="1">
      <c r="B12" s="131" t="b">
        <v>0</v>
      </c>
      <c r="C12" s="132">
        <v>7.0</v>
      </c>
      <c r="D12" s="137" t="s">
        <v>131</v>
      </c>
      <c r="E12" s="140" t="s">
        <v>132</v>
      </c>
      <c r="F12" s="145" t="s">
        <v>118</v>
      </c>
      <c r="G12" s="192">
        <v>35.0</v>
      </c>
      <c r="H12" s="192"/>
      <c r="I12" s="150"/>
      <c r="J12" s="150"/>
      <c r="K12" s="157" t="str">
        <f>IFERROR(__xludf.DUMMYFUNCTION("IFERROR(IF(COUNT(G12:J12)&gt;=2, SPARKLINE(G12:J12, {""charttype"",""line"";""color"",""#3f5f90"";""linewidth"",2;""empty"",""ignore""}), IF(COUNT(G12:J12)=1, SPARKLINE(G12:J12, {""charttype"",""column"";""color"",""#3f5f90"";""ymin"",0}), ""-"")), ""-"")"),"")</f>
        <v/>
      </c>
      <c r="L12" s="158" t="str">
        <f>HYPERLINK("https://exrx.net/WeightExercises/Hamstrings/LVLyingLegCurl", "⚙️ Leg Curl Machine • Guide")</f>
        <v>⚙️ Leg Curl Machine • Guide</v>
      </c>
      <c r="M12" s="159" t="s">
        <v>84</v>
      </c>
      <c r="O12" s="248" t="s">
        <v>134</v>
      </c>
      <c r="P12" s="249"/>
      <c r="Q12" s="249"/>
      <c r="R12" s="249"/>
      <c r="S12" s="251"/>
    </row>
    <row r="13" ht="26.25" customHeight="1">
      <c r="B13" s="165" t="b">
        <v>0</v>
      </c>
      <c r="C13" s="166">
        <v>8.0</v>
      </c>
      <c r="D13" s="168" t="s">
        <v>135</v>
      </c>
      <c r="E13" s="169" t="s">
        <v>136</v>
      </c>
      <c r="F13" s="170" t="s">
        <v>106</v>
      </c>
      <c r="G13" s="173"/>
      <c r="H13" s="173"/>
      <c r="I13" s="173"/>
      <c r="J13" s="173"/>
      <c r="K13" s="157" t="str">
        <f>IFERROR(__xludf.DUMMYFUNCTION("IFERROR(IF(COUNT(G13:J13)&gt;=2, SPARKLINE(G13:J13, {""charttype"",""line"";""color"",""#3f5f90"";""linewidth"",2;""empty"",""ignore""}), IF(COUNT(G13:J13)=1, SPARKLINE(G13:J13, {""charttype"",""column"";""color"",""#3f5f90"";""ymin"",0}), ""-"")), ""-"")"),"-")</f>
        <v>-</v>
      </c>
      <c r="L13" s="158" t="str">
        <f>HYPERLINK("https://exrx.net/WeightExercises/RectusAbdominis/WtSitUp", "🧘 Exercise Mat • Guide")</f>
        <v>🧘 Exercise Mat • Guide</v>
      </c>
      <c r="M13" s="159" t="s">
        <v>84</v>
      </c>
      <c r="O13" s="257" t="s">
        <v>140</v>
      </c>
      <c r="P13" s="98"/>
      <c r="Q13" s="98"/>
      <c r="R13" s="98"/>
      <c r="S13" s="99"/>
    </row>
    <row r="14" ht="26.25" customHeight="1">
      <c r="B14" s="259" t="b">
        <v>0</v>
      </c>
      <c r="C14" s="261">
        <v>9.0</v>
      </c>
      <c r="D14" s="262" t="s">
        <v>142</v>
      </c>
      <c r="E14" s="264" t="s">
        <v>143</v>
      </c>
      <c r="F14" s="265" t="s">
        <v>144</v>
      </c>
      <c r="G14" s="266"/>
      <c r="H14" s="266"/>
      <c r="I14" s="266"/>
      <c r="J14" s="266"/>
      <c r="K14" s="267" t="str">
        <f>IFERROR(__xludf.DUMMYFUNCTION("IFERROR(IF(COUNT(G14:J14)&gt;=2, SPARKLINE(G14:J14, {""charttype"",""line"";""color"",""#3f5f90"";""linewidth"",2;""empty"",""ignore""}), IF(COUNT(G14:J14)=1, SPARKLINE(G14:J14, {""charttype"",""column"";""color"",""#3f5f90"";""ymin"",0}), ""-"")), ""-"")"),"-")</f>
        <v>-</v>
      </c>
      <c r="L14" s="158" t="str">
        <f>HYPERLINK("[link removed]", "🚴 Treadmill / Bike • Guide")</f>
        <v>🚴 Treadmill / Bike • Guide</v>
      </c>
      <c r="M14" s="159" t="s">
        <v>84</v>
      </c>
      <c r="O14" s="270" t="str">
        <f>"📊 Current Routine: " &amp; COUNTIF(M:M, "Active") &amp; " Active Movements • " &amp; COUNTIF(M:M, "Archived") &amp; " Archived"</f>
        <v>📊 Current Routine: 33 Active Movements • 0 Archived</v>
      </c>
      <c r="P14" s="271"/>
      <c r="Q14" s="271"/>
      <c r="R14" s="271"/>
      <c r="S14" s="273"/>
    </row>
    <row r="15" ht="26.25" customHeight="1">
      <c r="B15" s="274" t="b">
        <v>0</v>
      </c>
      <c r="C15" s="275">
        <v>10.0</v>
      </c>
      <c r="D15" s="276" t="s">
        <v>146</v>
      </c>
      <c r="E15" s="277" t="s">
        <v>136</v>
      </c>
      <c r="F15" s="279" t="s">
        <v>148</v>
      </c>
      <c r="G15" s="281"/>
      <c r="H15" s="281"/>
      <c r="I15" s="281"/>
      <c r="J15" s="281"/>
      <c r="K15" s="283" t="s">
        <v>80</v>
      </c>
      <c r="L15" s="284"/>
      <c r="M15" s="285" t="s">
        <v>84</v>
      </c>
      <c r="O15" s="286"/>
      <c r="P15" s="286"/>
      <c r="Q15" s="286"/>
      <c r="R15" s="286"/>
      <c r="S15" s="286"/>
    </row>
    <row r="16" ht="24.0" customHeight="1">
      <c r="B16" s="101" t="s">
        <v>150</v>
      </c>
      <c r="C16" s="288"/>
      <c r="D16" s="288"/>
      <c r="E16" s="288"/>
      <c r="F16" s="288"/>
      <c r="G16" s="288"/>
      <c r="H16" s="288"/>
      <c r="I16" s="288"/>
      <c r="J16" s="288"/>
      <c r="K16" s="110"/>
      <c r="L16" s="110"/>
      <c r="M16" s="112"/>
    </row>
    <row r="17" ht="26.25" customHeight="1">
      <c r="B17" s="290" t="b">
        <v>0</v>
      </c>
      <c r="C17" s="291">
        <v>1.0</v>
      </c>
      <c r="D17" s="292" t="s">
        <v>75</v>
      </c>
      <c r="E17" s="293" t="s">
        <v>78</v>
      </c>
      <c r="F17" s="294" t="s">
        <v>80</v>
      </c>
      <c r="G17" s="295"/>
      <c r="H17" s="295"/>
      <c r="I17" s="295"/>
      <c r="J17" s="295"/>
      <c r="K17" s="157" t="str">
        <f>IFERROR(__xludf.DUMMYFUNCTION("IFERROR(IF(COUNT(G17:J17)&gt;=2, SPARKLINE(G17:J17, {""charttype"",""line"";""color"",""#3f5f90"";""linewidth"",2;""empty"",""ignore""}), IF(COUNT(G17:J17)=1, SPARKLINE(G17:J17, {""charttype"",""column"";""color"",""#3f5f90"";""ymin"",0}), ""-"")), ""-"")"),"-")</f>
        <v>-</v>
      </c>
      <c r="L17" s="158" t="str">
        <f>HYPERLINK("[link removed]", "🏃 Dynamic Mat • Guide")</f>
        <v>🏃 Dynamic Mat • Guide</v>
      </c>
      <c r="M17" s="159" t="s">
        <v>84</v>
      </c>
    </row>
    <row r="18" ht="26.25" customHeight="1">
      <c r="B18" s="131" t="b">
        <v>1</v>
      </c>
      <c r="C18" s="132">
        <v>2.0</v>
      </c>
      <c r="D18" s="137" t="s">
        <v>18</v>
      </c>
      <c r="E18" s="140" t="s">
        <v>165</v>
      </c>
      <c r="F18" s="145" t="s">
        <v>92</v>
      </c>
      <c r="G18" s="150"/>
      <c r="H18" s="192">
        <v>10.0</v>
      </c>
      <c r="I18" s="150"/>
      <c r="J18" s="150"/>
      <c r="K18" s="157" t="str">
        <f>IFERROR(__xludf.DUMMYFUNCTION("IFERROR(IF(COUNT(G18:J18)&gt;=2, SPARKLINE(G18:J18, {""charttype"",""line"";""color"",""#3f5f90"";""linewidth"",2;""empty"",""ignore""}), IF(COUNT(G18:J18)=1, SPARKLINE(G18:J18, {""charttype"",""column"";""color"",""#3f5f90"";""ymin"",0}), ""-"")), ""-"")"),"")</f>
        <v/>
      </c>
      <c r="L18" s="302" t="str">
        <f>HYPERLINK("https://weighttraining.guide/wp-content/uploads/2016/12/machine-chest-press-resized.png", "⚙️ Incline Machine • Guide")</f>
        <v>⚙️ Incline Machine • Guide</v>
      </c>
      <c r="M18" s="159" t="s">
        <v>84</v>
      </c>
    </row>
    <row r="19" ht="26.25" customHeight="1">
      <c r="B19" s="165" t="b">
        <v>1</v>
      </c>
      <c r="C19" s="166">
        <v>3.0</v>
      </c>
      <c r="D19" s="168" t="s">
        <v>32</v>
      </c>
      <c r="E19" s="169" t="s">
        <v>184</v>
      </c>
      <c r="F19" s="170" t="s">
        <v>92</v>
      </c>
      <c r="G19" s="173"/>
      <c r="H19" s="171">
        <v>10.0</v>
      </c>
      <c r="I19" s="173"/>
      <c r="J19" s="173"/>
      <c r="K19" s="157" t="str">
        <f>IFERROR(__xludf.DUMMYFUNCTION("IFERROR(IF(COUNT(G19:J19)&gt;=2, SPARKLINE(G19:J19, {""charttype"",""line"";""color"",""#3f5f90"";""linewidth"",2;""empty"",""ignore""}), IF(COUNT(G19:J19)=1, SPARKLINE(G19:J19, {""charttype"",""column"";""color"",""#3f5f90"";""ymin"",0}), ""-"")), ""-"")"),"")</f>
        <v/>
      </c>
      <c r="L19" s="302" t="str">
        <f>HYPERLINK("https://encrypted-tbn0.gstatic.com/images?q=tbn:ANd9GcTLB2vyUAWuIEE7PT1b92WinoCVExWyDuU8yX7jG6LsMQ&amp;s=10", "🏋️ Barbell / Bench • Guide")</f>
        <v>🏋️ Barbell / Bench • Guide</v>
      </c>
      <c r="M19" s="159" t="s">
        <v>84</v>
      </c>
    </row>
    <row r="20" ht="26.25" customHeight="1">
      <c r="B20" s="131" t="b">
        <v>1</v>
      </c>
      <c r="C20" s="132">
        <v>4.0</v>
      </c>
      <c r="D20" s="137" t="s">
        <v>37</v>
      </c>
      <c r="E20" s="140" t="s">
        <v>196</v>
      </c>
      <c r="F20" s="145" t="s">
        <v>92</v>
      </c>
      <c r="G20" s="150"/>
      <c r="H20" s="192">
        <v>10.0</v>
      </c>
      <c r="I20" s="150"/>
      <c r="J20" s="150"/>
      <c r="K20" s="157" t="str">
        <f>IFERROR(__xludf.DUMMYFUNCTION("IFERROR(IF(COUNT(G20:J20)&gt;=2, SPARKLINE(G20:J20, {""charttype"",""line"";""color"",""#3f5f90"";""linewidth"",2;""empty"",""ignore""}), IF(COUNT(G20:J20)=1, SPARKLINE(G20:J20, {""charttype"",""column"";""color"",""#3f5f90"";""ymin"",0}), ""-"")), ""-"")"),"")</f>
        <v/>
      </c>
      <c r="L20" s="302" t="str">
        <f>HYPERLINK("https://encrypted-tbn0.gstatic.com/images?q=tbn:ANd9GcS9hjTCgCjVx8Td1V8SOlOBlJqWSH4WT5TXYsbWGw-MhgFJzX7ZODihUAQ&amp;s=10", "🏋️ Dumbbells • Guide")</f>
        <v>🏋️ Dumbbells • Guide</v>
      </c>
      <c r="M20" s="159" t="s">
        <v>84</v>
      </c>
    </row>
    <row r="21" ht="26.25" customHeight="1">
      <c r="B21" s="165" t="b">
        <v>1</v>
      </c>
      <c r="C21" s="166">
        <v>5.0</v>
      </c>
      <c r="D21" s="168" t="s">
        <v>49</v>
      </c>
      <c r="E21" s="169" t="s">
        <v>199</v>
      </c>
      <c r="F21" s="170" t="s">
        <v>106</v>
      </c>
      <c r="G21" s="173"/>
      <c r="H21" s="173"/>
      <c r="I21" s="173"/>
      <c r="J21" s="173"/>
      <c r="K21" s="157" t="str">
        <f>IFERROR(__xludf.DUMMYFUNCTION("IFERROR(IF(COUNT(G21:J21)&gt;=2, SPARKLINE(G21:J21, {""charttype"",""line"";""color"",""#3f5f90"";""linewidth"",2;""empty"",""ignore""}), IF(COUNT(G21:J21)=1, SPARKLINE(G21:J21, {""charttype"",""column"";""color"",""#3f5f90"";""ymin"",0}), ""-"")), ""-"")"),"-")</f>
        <v>-</v>
      </c>
      <c r="L21" s="302" t="str">
        <f>HYPERLINK("https://i0.wp.com/www.strengthlog.com/wp-content/uploads/2025/11/overhead-tricep-extension-end-1024x1024.png?resize=700%2C700&amp;ssl=1", "🏋️ Dumbbell / Bench • Guide")</f>
        <v>🏋️ Dumbbell / Bench • Guide</v>
      </c>
      <c r="M21" s="159" t="s">
        <v>84</v>
      </c>
    </row>
    <row r="22" ht="26.25" customHeight="1">
      <c r="B22" s="131" t="b">
        <v>1</v>
      </c>
      <c r="C22" s="132">
        <v>6.0</v>
      </c>
      <c r="D22" s="137" t="s">
        <v>59</v>
      </c>
      <c r="E22" s="140" t="s">
        <v>202</v>
      </c>
      <c r="F22" s="145" t="s">
        <v>106</v>
      </c>
      <c r="G22" s="150"/>
      <c r="H22" s="150"/>
      <c r="I22" s="150"/>
      <c r="J22" s="150"/>
      <c r="K22" s="157" t="str">
        <f>IFERROR(__xludf.DUMMYFUNCTION("IFERROR(IF(COUNT(G22:J22)&gt;=2, SPARKLINE(G22:J22, {""charttype"",""line"";""color"",""#3f5f90"";""linewidth"",2;""empty"",""ignore""}), IF(COUNT(G22:J22)=1, SPARKLINE(G22:J22, {""charttype"",""column"";""color"",""#3f5f90"";""ymin"",0}), ""-"")), ""-"")"),"-")</f>
        <v>-</v>
      </c>
      <c r="L22" s="302" t="str">
        <f>HYPERLINK("https://trainingstation.co.uk/cdn/shop/articles/Tricep-pushdown-movement_ddb8dbd8-566d-4f55-99e0-36c35790234a_600x.png?v=1739005533", "🪜 Cable Tower • Guide")</f>
        <v>🪜 Cable Tower • Guide</v>
      </c>
      <c r="M22" s="159" t="s">
        <v>84</v>
      </c>
    </row>
    <row r="23" ht="26.25" customHeight="1">
      <c r="B23" s="306" t="b">
        <v>0</v>
      </c>
      <c r="C23" s="307">
        <v>7.0</v>
      </c>
      <c r="D23" s="308" t="s">
        <v>70</v>
      </c>
      <c r="E23" s="309" t="s">
        <v>143</v>
      </c>
      <c r="F23" s="310" t="s">
        <v>144</v>
      </c>
      <c r="G23" s="311"/>
      <c r="H23" s="311"/>
      <c r="I23" s="311"/>
      <c r="J23" s="311"/>
      <c r="K23" s="267" t="str">
        <f>IFERROR(__xludf.DUMMYFUNCTION("IFERROR(IF(COUNT(G23:J23)&gt;=2, SPARKLINE(G23:J23, {""charttype"",""line"";""color"",""#3f5f90"";""linewidth"",2;""empty"",""ignore""}), IF(COUNT(G23:J23)=1, SPARKLINE(G23:J23, {""charttype"",""column"";""color"",""#3f5f90"";""ymin"",0}), ""-"")), ""-"")"),"-")</f>
        <v>-</v>
      </c>
      <c r="L23" s="158" t="str">
        <f>HYPERLINK("[link removed]", "🏃 Elliptical • Guide")</f>
        <v>🏃 Elliptical • Guide</v>
      </c>
      <c r="M23" s="159" t="s">
        <v>84</v>
      </c>
    </row>
    <row r="24" ht="26.25" customHeight="1">
      <c r="B24" s="312" t="b">
        <v>0</v>
      </c>
      <c r="C24" s="313">
        <v>8.0</v>
      </c>
      <c r="D24" s="314" t="s">
        <v>72</v>
      </c>
      <c r="E24" s="315" t="s">
        <v>46</v>
      </c>
      <c r="F24" s="316" t="s">
        <v>106</v>
      </c>
      <c r="G24" s="317"/>
      <c r="H24" s="317"/>
      <c r="I24" s="317"/>
      <c r="J24" s="317"/>
      <c r="K24" s="283" t="s">
        <v>80</v>
      </c>
      <c r="L24" s="318" t="str">
        <f>HYPERLINK("https://exrx.net/WeightExercises", "🏋️ Custom Equipment Guide")</f>
        <v>🏋️ Custom Equipment Guide</v>
      </c>
      <c r="M24" s="285" t="s">
        <v>84</v>
      </c>
    </row>
    <row r="25" ht="24.0" customHeight="1">
      <c r="B25" s="101" t="s">
        <v>278</v>
      </c>
      <c r="C25" s="104"/>
      <c r="D25" s="104"/>
      <c r="E25" s="104"/>
      <c r="F25" s="104"/>
      <c r="G25" s="104"/>
      <c r="H25" s="104"/>
      <c r="I25" s="104"/>
      <c r="J25" s="104"/>
      <c r="K25" s="110"/>
      <c r="L25" s="110"/>
      <c r="M25" s="112"/>
    </row>
    <row r="26" ht="26.25" customHeight="1">
      <c r="B26" s="319" t="b">
        <v>0</v>
      </c>
      <c r="C26" s="320">
        <v>1.0</v>
      </c>
      <c r="D26" s="321" t="s">
        <v>75</v>
      </c>
      <c r="E26" s="322" t="s">
        <v>78</v>
      </c>
      <c r="F26" s="323" t="s">
        <v>80</v>
      </c>
      <c r="G26" s="324"/>
      <c r="H26" s="324"/>
      <c r="I26" s="324"/>
      <c r="J26" s="325"/>
      <c r="K26" s="157" t="str">
        <f>IFERROR(__xludf.DUMMYFUNCTION("IFERROR(IF(COUNT(G26:J26)&gt;=2, SPARKLINE(G26:J26, {""charttype"",""line"";""color"",""#3f5f90"";""linewidth"",2;""empty"",""ignore""}), IF(COUNT(G26:J26)=1, SPARKLINE(G26:J26, {""charttype"",""column"";""color"",""#3f5f90"";""ymin"",0}), ""-"")), ""-"")"),"-")</f>
        <v>-</v>
      </c>
      <c r="L26" s="158" t="str">
        <f>HYPERLINK("[link removed]", "🏃 Dynamic Mat • Guide")</f>
        <v>🏃 Dynamic Mat • Guide</v>
      </c>
      <c r="M26" s="159" t="s">
        <v>84</v>
      </c>
    </row>
    <row r="27" ht="26.25" customHeight="1">
      <c r="B27" s="165" t="b">
        <v>0</v>
      </c>
      <c r="C27" s="166">
        <v>2.0</v>
      </c>
      <c r="D27" s="168" t="s">
        <v>88</v>
      </c>
      <c r="E27" s="169" t="s">
        <v>218</v>
      </c>
      <c r="F27" s="170" t="s">
        <v>92</v>
      </c>
      <c r="G27" s="173"/>
      <c r="H27" s="173"/>
      <c r="I27" s="173"/>
      <c r="J27" s="173"/>
      <c r="K27" s="157" t="str">
        <f>IFERROR(__xludf.DUMMYFUNCTION("IFERROR(IF(COUNT(G27:J27)&gt;=2, SPARKLINE(G27:J27, {""charttype"",""line"";""color"",""#3f5f90"";""linewidth"",2;""empty"",""ignore""}), IF(COUNT(G27:J27)=1, SPARKLINE(G27:J27, {""charttype"",""column"";""color"",""#3f5f90"";""ymin"",0}), ""-"")), ""-"")"),"-")</f>
        <v>-</v>
      </c>
      <c r="L27" s="302" t="str">
        <f>HYPERLINK("https://weighttraining.guide/wp-content/uploads/2016/05/Seated-cable-row-new-resized.png", "🪜 Seated Cable Row • Guide")</f>
        <v>🪜 Seated Cable Row • Guide</v>
      </c>
      <c r="M27" s="159" t="s">
        <v>84</v>
      </c>
    </row>
    <row r="28" ht="26.25" customHeight="1">
      <c r="B28" s="131" t="b">
        <v>0</v>
      </c>
      <c r="C28" s="132">
        <v>3.0</v>
      </c>
      <c r="D28" s="137" t="s">
        <v>100</v>
      </c>
      <c r="E28" s="140" t="s">
        <v>222</v>
      </c>
      <c r="F28" s="145" t="s">
        <v>92</v>
      </c>
      <c r="G28" s="150"/>
      <c r="H28" s="150"/>
      <c r="I28" s="150"/>
      <c r="J28" s="150"/>
      <c r="K28" s="157" t="str">
        <f>IFERROR(__xludf.DUMMYFUNCTION("IFERROR(IF(COUNT(G28:J28)&gt;=2, SPARKLINE(G28:J28, {""charttype"",""line"";""color"",""#3f5f90"";""linewidth"",2;""empty"",""ignore""}), IF(COUNT(G28:J28)=1, SPARKLINE(G28:J28, {""charttype"",""column"";""color"",""#3f5f90"";""ymin"",0}), ""-"")), ""-"")"),"-")</f>
        <v>-</v>
      </c>
      <c r="L28" s="302" t="str">
        <f>HYPERLINK("https://i0.wp.com/st2.depositphotos.com/8546304/11395/i/950/depositphotos_113952040-stock-photo-thrust-block-on-top-of.jpg?resize=542%2C332&amp;ssl=1", "🪜 Underhand Lat Pulldown • Guide")</f>
        <v>🪜 Underhand Lat Pulldown • Guide</v>
      </c>
      <c r="M28" s="159" t="s">
        <v>84</v>
      </c>
    </row>
    <row r="29" ht="26.25" customHeight="1">
      <c r="B29" s="165" t="b">
        <v>0</v>
      </c>
      <c r="C29" s="166">
        <v>4.0</v>
      </c>
      <c r="D29" s="168" t="s">
        <v>124</v>
      </c>
      <c r="E29" s="169" t="s">
        <v>224</v>
      </c>
      <c r="F29" s="170" t="s">
        <v>106</v>
      </c>
      <c r="G29" s="173"/>
      <c r="H29" s="173"/>
      <c r="I29" s="173"/>
      <c r="J29" s="173"/>
      <c r="K29" s="157" t="str">
        <f>IFERROR(__xludf.DUMMYFUNCTION("IFERROR(IF(COUNT(G29:J29)&gt;=2, SPARKLINE(G29:J29, {""charttype"",""line"";""color"",""#3f5f90"";""linewidth"",2;""empty"",""ignore""}), IF(COUNT(G29:J29)=1, SPARKLINE(G29:J29, {""charttype"",""column"";""color"",""#3f5f90"";""ymin"",0}), ""-"")), ""-"")"),"-")</f>
        <v>-</v>
      </c>
      <c r="L29" s="302" t="str">
        <f>HYPERLINK("https://www.strongermobileapp.com/exercises/rear-delt-fly-machine", "🪜 Rear Delt Fly Machine • Guide")</f>
        <v>🪜 Rear Delt Fly Machine • Guide</v>
      </c>
      <c r="M29" s="159" t="s">
        <v>84</v>
      </c>
    </row>
    <row r="30" ht="26.25" customHeight="1">
      <c r="B30" s="131" t="b">
        <v>0</v>
      </c>
      <c r="C30" s="132">
        <v>5.0</v>
      </c>
      <c r="D30" s="137" t="s">
        <v>62</v>
      </c>
      <c r="E30" s="140" t="s">
        <v>117</v>
      </c>
      <c r="F30" s="145" t="s">
        <v>106</v>
      </c>
      <c r="G30" s="150"/>
      <c r="H30" s="150"/>
      <c r="I30" s="150"/>
      <c r="J30" s="150"/>
      <c r="K30" s="157" t="str">
        <f>IFERROR(__xludf.DUMMYFUNCTION("IFERROR(IF(COUNT(G30:J30)&gt;=2, SPARKLINE(G30:J30, {""charttype"",""line"";""color"",""#3f5f90"";""linewidth"",2;""empty"",""ignore""}), IF(COUNT(G30:J30)=1, SPARKLINE(G30:J30, {""charttype"",""column"";""color"",""#3f5f90"";""ymin"",0}), ""-"")), ""-"")"),"-")</f>
        <v>-</v>
      </c>
      <c r="L30" s="158" t="str">
        <f>HYPERLINK("https://exrx.net/WeightExercises/Biceps/DBCurl", "🏋️ Dumbbells • Guide")</f>
        <v>🏋️ Dumbbells • Guide</v>
      </c>
      <c r="M30" s="159" t="s">
        <v>84</v>
      </c>
    </row>
    <row r="31" ht="26.25" customHeight="1">
      <c r="B31" s="165" t="b">
        <v>0</v>
      </c>
      <c r="C31" s="166">
        <v>6.0</v>
      </c>
      <c r="D31" s="168" t="s">
        <v>115</v>
      </c>
      <c r="E31" s="169" t="s">
        <v>229</v>
      </c>
      <c r="F31" s="170" t="s">
        <v>106</v>
      </c>
      <c r="G31" s="173"/>
      <c r="H31" s="173"/>
      <c r="I31" s="173"/>
      <c r="J31" s="173"/>
      <c r="K31" s="157" t="str">
        <f>IFERROR(__xludf.DUMMYFUNCTION("IFERROR(IF(COUNT(G31:J31)&gt;=2, SPARKLINE(G31:J31, {""charttype"",""line"";""color"",""#3f5f90"";""linewidth"",2;""empty"",""ignore""}), IF(COUNT(G31:J31)=1, SPARKLINE(G31:J31, {""charttype"",""column"";""color"",""#3f5f90"";""ymin"",0}), ""-"")), ""-"")"),"-")</f>
        <v>-</v>
      </c>
      <c r="L31" s="158" t="str">
        <f>HYPERLINK("https://exrx.net/WeightExercises/Brachioradialis/DBHammerCurl", "🏋️ Dumbbells • Guide")</f>
        <v>🏋️ Dumbbells • Guide</v>
      </c>
      <c r="M31" s="159" t="s">
        <v>84</v>
      </c>
    </row>
    <row r="32" ht="26.25" customHeight="1">
      <c r="B32" s="259" t="b">
        <v>0</v>
      </c>
      <c r="C32" s="261">
        <v>7.0</v>
      </c>
      <c r="D32" s="262" t="s">
        <v>232</v>
      </c>
      <c r="E32" s="264" t="s">
        <v>143</v>
      </c>
      <c r="F32" s="265" t="s">
        <v>144</v>
      </c>
      <c r="G32" s="266"/>
      <c r="H32" s="266"/>
      <c r="I32" s="266"/>
      <c r="J32" s="266"/>
      <c r="K32" s="267" t="str">
        <f>IFERROR(__xludf.DUMMYFUNCTION("IFERROR(IF(COUNT(G32:J32)&gt;=2, SPARKLINE(G32:J32, {""charttype"",""line"";""color"",""#3f5f90"";""linewidth"",2;""empty"",""ignore""}), IF(COUNT(G32:J32)=1, SPARKLINE(G32:J32, {""charttype"",""column"";""color"",""#3f5f90"";""ymin"",0}), ""-"")), ""-"")"),"-")</f>
        <v>-</v>
      </c>
      <c r="L32" s="158" t="str">
        <f>HYPERLINK("[link removed]", "🏃 Treadmill / Bike • Guide")</f>
        <v>🏃 Treadmill / Bike • Guide</v>
      </c>
      <c r="M32" s="159" t="s">
        <v>84</v>
      </c>
    </row>
    <row r="33" ht="26.25" customHeight="1">
      <c r="B33" s="274" t="b">
        <v>0</v>
      </c>
      <c r="C33" s="275">
        <v>8.0</v>
      </c>
      <c r="D33" s="276" t="s">
        <v>86</v>
      </c>
      <c r="E33" s="277"/>
      <c r="F33" s="279" t="s">
        <v>106</v>
      </c>
      <c r="G33" s="281"/>
      <c r="H33" s="281"/>
      <c r="I33" s="281"/>
      <c r="J33" s="281"/>
      <c r="K33" s="283" t="s">
        <v>80</v>
      </c>
      <c r="L33" s="284"/>
      <c r="M33" s="285" t="s">
        <v>84</v>
      </c>
    </row>
    <row r="34" ht="24.0" customHeight="1">
      <c r="B34" s="101" t="s">
        <v>303</v>
      </c>
      <c r="C34" s="288"/>
      <c r="D34" s="288"/>
      <c r="E34" s="288"/>
      <c r="F34" s="288"/>
      <c r="G34" s="288"/>
      <c r="H34" s="288"/>
      <c r="I34" s="288"/>
      <c r="J34" s="288"/>
      <c r="K34" s="110"/>
      <c r="L34" s="110"/>
      <c r="M34" s="112"/>
    </row>
    <row r="35" ht="26.25" customHeight="1">
      <c r="B35" s="290" t="b">
        <v>0</v>
      </c>
      <c r="C35" s="291">
        <v>1.0</v>
      </c>
      <c r="D35" s="292" t="s">
        <v>75</v>
      </c>
      <c r="E35" s="293" t="s">
        <v>78</v>
      </c>
      <c r="F35" s="294" t="s">
        <v>80</v>
      </c>
      <c r="G35" s="295"/>
      <c r="H35" s="295"/>
      <c r="I35" s="295"/>
      <c r="J35" s="326"/>
      <c r="K35" s="157" t="str">
        <f>IFERROR(__xludf.DUMMYFUNCTION("IFERROR(IF(COUNT(G35:J35)&gt;=2, SPARKLINE(G35:J35, {""charttype"",""line"";""color"",""#3f5f90"";""linewidth"",2;""empty"",""ignore""}), IF(COUNT(G35:J35)=1, SPARKLINE(G35:J35, {""charttype"",""column"";""color"",""#3f5f90"";""ymin"",0}), ""-"")), ""-"")"),"-")</f>
        <v>-</v>
      </c>
      <c r="L35" s="158" t="str">
        <f>HYPERLINK("[link removed]", "🏃 Dynamic Mat • Guide")</f>
        <v>🏃 Dynamic Mat • Guide</v>
      </c>
      <c r="M35" s="159" t="s">
        <v>84</v>
      </c>
    </row>
    <row r="36" ht="26.25" customHeight="1">
      <c r="B36" s="131" t="b">
        <v>0</v>
      </c>
      <c r="C36" s="132">
        <v>2.0</v>
      </c>
      <c r="D36" s="137" t="s">
        <v>240</v>
      </c>
      <c r="E36" s="140" t="s">
        <v>241</v>
      </c>
      <c r="F36" s="145" t="s">
        <v>92</v>
      </c>
      <c r="G36" s="150"/>
      <c r="H36" s="150"/>
      <c r="I36" s="150"/>
      <c r="J36" s="150"/>
      <c r="K36" s="157" t="str">
        <f>IFERROR(__xludf.DUMMYFUNCTION("IFERROR(IF(COUNT(G36:J36)&gt;=2, SPARKLINE(G36:J36, {""charttype"",""line"";""color"",""#3f5f90"";""linewidth"",2;""empty"",""ignore""}), IF(COUNT(G36:J36)=1, SPARKLINE(G36:J36, {""charttype"",""column"";""color"",""#3f5f90"";""ymin"",0}), ""-"")), ""-"")"),"-")</f>
        <v>-</v>
      </c>
      <c r="L36" s="302" t="str">
        <f>HYPERLINK("https://encrypted-tbn0.gstatic.com/images?q=tbn:ANd9GcRb-eP6O1QgWAErwMwxynRVs238CDxo9Cs1dFrePrX3kw&amp;s=10", "⚙️ Leg Press Machine • Guide")</f>
        <v>⚙️ Leg Press Machine • Guide</v>
      </c>
      <c r="M36" s="159" t="s">
        <v>84</v>
      </c>
    </row>
    <row r="37" ht="26.25" customHeight="1">
      <c r="B37" s="327" t="b">
        <v>0</v>
      </c>
      <c r="C37" s="328">
        <v>3.0</v>
      </c>
      <c r="D37" s="329" t="s">
        <v>128</v>
      </c>
      <c r="E37" s="330" t="s">
        <v>244</v>
      </c>
      <c r="F37" s="331" t="s">
        <v>92</v>
      </c>
      <c r="G37" s="332"/>
      <c r="H37" s="332"/>
      <c r="I37" s="332"/>
      <c r="J37" s="332"/>
      <c r="K37" s="157" t="str">
        <f>IFERROR(__xludf.DUMMYFUNCTION("IFERROR(IF(COUNT(G37:J37)&gt;=2, SPARKLINE(G37:J37, {""charttype"",""line"";""color"",""#3f5f90"";""linewidth"",2;""empty"",""ignore""}), IF(COUNT(G37:J37)=1, SPARKLINE(G37:J37, {""charttype"",""column"";""color"",""#3f5f90"";""ymin"",0}), ""-"")), ""-"")"),"-")</f>
        <v>-</v>
      </c>
      <c r="L37" s="302" t="str">
        <f>HYPERLINK("https://content.artofmanliness.com/uploads/2024/11/Romanian-Deadlift-1.jpg", "🏋️ Romanian Deadlift • Guide")</f>
        <v>🏋️ Romanian Deadlift • Guide</v>
      </c>
      <c r="M37" s="159" t="s">
        <v>84</v>
      </c>
    </row>
    <row r="38" ht="26.25" customHeight="1">
      <c r="B38" s="327" t="b">
        <v>0</v>
      </c>
      <c r="C38" s="328">
        <v>4.0</v>
      </c>
      <c r="D38" s="329" t="s">
        <v>131</v>
      </c>
      <c r="E38" s="330" t="s">
        <v>248</v>
      </c>
      <c r="F38" s="331" t="s">
        <v>106</v>
      </c>
      <c r="G38" s="332"/>
      <c r="H38" s="332"/>
      <c r="I38" s="332"/>
      <c r="J38" s="332"/>
      <c r="K38" s="157" t="str">
        <f>IFERROR(__xludf.DUMMYFUNCTION("IFERROR(IF(COUNT(G38:J38)&gt;=2, SPARKLINE(G38:J38, {""charttype"",""line"";""color"",""#3f5f90"";""linewidth"",2;""empty"",""ignore""}), IF(COUNT(G38:J38)=1, SPARKLINE(G38:J38, {""charttype"",""column"";""color"",""#3f5f90"";""ymin"",0}), ""-"")), ""-"")"),"-")</f>
        <v>-</v>
      </c>
      <c r="L38" s="302" t="str">
        <f>HYPERLINK("https://weighttraining.guide/wp-content/uploads/2016/10/seated-leg-curl-resized.png", "⚙️ Leg Curl Machine • Guide")</f>
        <v>⚙️ Leg Curl Machine • Guide</v>
      </c>
      <c r="M38" s="159" t="s">
        <v>84</v>
      </c>
    </row>
    <row r="39" ht="26.25" customHeight="1">
      <c r="B39" s="327" t="b">
        <v>0</v>
      </c>
      <c r="C39" s="328">
        <v>5.0</v>
      </c>
      <c r="D39" s="329" t="s">
        <v>137</v>
      </c>
      <c r="E39" s="330" t="s">
        <v>252</v>
      </c>
      <c r="F39" s="331" t="s">
        <v>92</v>
      </c>
      <c r="G39" s="332"/>
      <c r="H39" s="332"/>
      <c r="I39" s="332"/>
      <c r="J39" s="332"/>
      <c r="K39" s="157" t="str">
        <f>IFERROR(__xludf.DUMMYFUNCTION("IFERROR(IF(COUNT(G39:J39)&gt;=2, SPARKLINE(G39:J39, {""charttype"",""line"";""color"",""#3f5f90"";""linewidth"",2;""empty"",""ignore""}), IF(COUNT(G39:J39)=1, SPARKLINE(G39:J39, {""charttype"",""column"";""color"",""#3f5f90"";""ymin"",0}), ""-"")), ""-"")"),"-")</f>
        <v>-</v>
      </c>
      <c r="L39" s="302" t="str">
        <f>HYPERLINK("https://encrypted-tbn0.gstatic.com/images?q=tbn:ANd9GcT6uF9rhaahZcnX78R51RFe7DKMh7Th_gqlIwveCVQEOv4lVqoCxI87rGuO&amp;s=10]", "⚙️ Seated Calf Machine • Guide")</f>
        <v>⚙️ Seated Calf Machine • Guide</v>
      </c>
      <c r="M39" s="159" t="s">
        <v>84</v>
      </c>
    </row>
    <row r="40" ht="26.25" customHeight="1">
      <c r="B40" s="327" t="b">
        <v>0</v>
      </c>
      <c r="C40" s="328">
        <v>6.0</v>
      </c>
      <c r="D40" s="329" t="s">
        <v>257</v>
      </c>
      <c r="E40" s="330" t="s">
        <v>143</v>
      </c>
      <c r="F40" s="331" t="s">
        <v>144</v>
      </c>
      <c r="G40" s="332"/>
      <c r="H40" s="332"/>
      <c r="I40" s="332"/>
      <c r="J40" s="332"/>
      <c r="K40" s="157" t="str">
        <f>IFERROR(__xludf.DUMMYFUNCTION("IFERROR(IF(COUNT(G40:J40)&gt;=2, SPARKLINE(G40:J40, {""charttype"",""line"";""color"",""#3f5f90"";""linewidth"",2;""empty"",""ignore""}), IF(COUNT(G40:J40)=1, SPARKLINE(G40:J40, {""charttype"",""column"";""color"",""#3f5f90"";""ymin"",0}), ""-"")), ""-"")"),"-")</f>
        <v>-</v>
      </c>
      <c r="L40" s="158" t="str">
        <f>HYPERLINK("[link removed]", "🏃 Treadmill / Track • Guide")</f>
        <v>🏃 Treadmill / Track • Guide</v>
      </c>
      <c r="M40" s="159" t="s">
        <v>84</v>
      </c>
    </row>
    <row r="41" ht="26.25" customHeight="1">
      <c r="B41" s="283" t="b">
        <v>0</v>
      </c>
      <c r="C41" s="333">
        <v>7.0</v>
      </c>
      <c r="D41" s="334" t="s">
        <v>133</v>
      </c>
      <c r="E41" s="335" t="s">
        <v>304</v>
      </c>
      <c r="F41" s="336" t="s">
        <v>305</v>
      </c>
      <c r="G41" s="337"/>
      <c r="H41" s="337"/>
      <c r="I41" s="337"/>
      <c r="J41" s="337"/>
      <c r="K41" s="283" t="s">
        <v>80</v>
      </c>
      <c r="L41" s="338" t="s">
        <v>306</v>
      </c>
      <c r="M41" s="339" t="s">
        <v>84</v>
      </c>
    </row>
  </sheetData>
  <mergeCells count="35">
    <mergeCell ref="J3:K3"/>
    <mergeCell ref="L3:M3"/>
    <mergeCell ref="O4:P4"/>
    <mergeCell ref="Q4:S4"/>
    <mergeCell ref="B2:E2"/>
    <mergeCell ref="F2:G2"/>
    <mergeCell ref="H2:I2"/>
    <mergeCell ref="J2:K2"/>
    <mergeCell ref="L2:M2"/>
    <mergeCell ref="O2:S2"/>
    <mergeCell ref="B3:E3"/>
    <mergeCell ref="O3:S3"/>
    <mergeCell ref="F3:G3"/>
    <mergeCell ref="H3:I3"/>
    <mergeCell ref="B5:M5"/>
    <mergeCell ref="O5:P5"/>
    <mergeCell ref="Q5:S5"/>
    <mergeCell ref="O6:P6"/>
    <mergeCell ref="Q6:S6"/>
    <mergeCell ref="O10:P10"/>
    <mergeCell ref="O11:P11"/>
    <mergeCell ref="R11:S11"/>
    <mergeCell ref="O12:S12"/>
    <mergeCell ref="O13:S13"/>
    <mergeCell ref="O14:S14"/>
    <mergeCell ref="B16:M16"/>
    <mergeCell ref="B25:M25"/>
    <mergeCell ref="B34:M34"/>
    <mergeCell ref="O7:P7"/>
    <mergeCell ref="Q7:S7"/>
    <mergeCell ref="O8:P8"/>
    <mergeCell ref="Q8:S8"/>
    <mergeCell ref="O9:P9"/>
    <mergeCell ref="Q9:S9"/>
    <mergeCell ref="Q10:S10"/>
  </mergeCells>
  <dataValidations>
    <dataValidation type="list" allowBlank="1" sqref="Q5">
      <formula1>"Tuesday • Heavy Full Body,Thursday • Push Day,Friday • Pull Day,Saturday • Leg Day"</formula1>
    </dataValidation>
    <dataValidation type="list" allowBlank="1" sqref="Q10 M6:M15 M17:M24 M26:M33 M35:M41">
      <formula1>"Active,Archived"</formula1>
    </dataValidation>
    <dataValidation type="list" allowBlank="1" sqref="Q4">
      <formula1>"➕ ADD NEW EXERCISE,✏️ EDIT EXERCISE,🗑️ DELETE / ARCHIVE"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13"/>
    <col customWidth="1" min="2" max="3" width="13.88"/>
    <col customWidth="1" min="4" max="4" width="21.38"/>
    <col customWidth="1" min="5" max="5" width="26.38"/>
    <col customWidth="1" min="6" max="6" width="8.88"/>
    <col customWidth="1" min="7" max="7" width="13.88"/>
    <col customWidth="1" min="8" max="8" width="10.13"/>
    <col customWidth="1" min="9" max="9" width="16.38"/>
  </cols>
  <sheetData>
    <row r="1" ht="6.75" customHeight="1"/>
    <row r="2" ht="18.0" customHeight="1">
      <c r="B2" s="1" t="s">
        <v>1</v>
      </c>
      <c r="D2" s="5" t="s">
        <v>2</v>
      </c>
      <c r="E2" s="8"/>
      <c r="F2" s="5" t="s">
        <v>5</v>
      </c>
      <c r="G2" s="8"/>
      <c r="H2" s="5" t="s">
        <v>7</v>
      </c>
      <c r="I2" s="8"/>
    </row>
    <row r="3" ht="19.5" customHeight="1">
      <c r="B3" s="13" t="s">
        <v>8</v>
      </c>
      <c r="D3" s="20" t="str">
        <f>IFERROR(__xludf.DUMMYFUNCTION("IFERROR(COUNTUNIQUE(C6:C100), 0) &amp; "" Sessions"""),"1 Sessions")</f>
        <v>1 Sessions</v>
      </c>
      <c r="E3" s="21"/>
      <c r="F3" s="26">
        <f>IFERROR(SUM(I6:I100), 0)</f>
        <v>3463</v>
      </c>
      <c r="G3" s="21"/>
      <c r="H3" s="26" t="str">
        <f>IF(COUNT(C6:C100)&gt;0, TEXT(MAX(C6:C100), "yyyy-mm-dd"), "-")</f>
        <v>2026-10-08</v>
      </c>
      <c r="I3" s="21"/>
    </row>
    <row r="4" ht="9.0" customHeight="1"/>
    <row r="5" ht="24.0" customHeight="1">
      <c r="B5" s="37" t="s">
        <v>17</v>
      </c>
      <c r="C5" s="37" t="s">
        <v>20</v>
      </c>
      <c r="D5" s="37" t="s">
        <v>21</v>
      </c>
      <c r="E5" s="37" t="s">
        <v>22</v>
      </c>
      <c r="F5" s="37" t="s">
        <v>23</v>
      </c>
      <c r="G5" s="37" t="s">
        <v>24</v>
      </c>
      <c r="H5" s="37" t="s">
        <v>26</v>
      </c>
      <c r="I5" s="37" t="s">
        <v>27</v>
      </c>
    </row>
    <row r="6" ht="26.25" customHeight="1">
      <c r="B6" s="41" t="s">
        <v>28</v>
      </c>
      <c r="C6" s="43">
        <v>46303.0</v>
      </c>
      <c r="D6" s="57" t="s">
        <v>33</v>
      </c>
      <c r="E6" s="57" t="s">
        <v>35</v>
      </c>
      <c r="F6" s="60">
        <v>1.0</v>
      </c>
      <c r="G6" s="63">
        <v>40.0</v>
      </c>
      <c r="H6" s="66">
        <v>10.0</v>
      </c>
      <c r="I6" s="70">
        <f t="shared" ref="I6:I18" si="1">IF(AND(ISNUMBER(G6), ISNUMBER(H6)), G6*H6, "")</f>
        <v>400</v>
      </c>
    </row>
    <row r="7" ht="26.25" customHeight="1">
      <c r="B7" s="41" t="s">
        <v>28</v>
      </c>
      <c r="C7" s="74">
        <v>46303.0</v>
      </c>
      <c r="D7" s="57" t="s">
        <v>33</v>
      </c>
      <c r="E7" s="57" t="s">
        <v>35</v>
      </c>
      <c r="F7" s="60">
        <v>2.0</v>
      </c>
      <c r="G7" s="63">
        <v>45.0</v>
      </c>
      <c r="H7" s="66">
        <v>8.0</v>
      </c>
      <c r="I7" s="81">
        <f t="shared" si="1"/>
        <v>360</v>
      </c>
    </row>
    <row r="8" ht="26.25" customHeight="1">
      <c r="B8" s="41" t="s">
        <v>28</v>
      </c>
      <c r="C8" s="74">
        <v>46303.0</v>
      </c>
      <c r="D8" s="57" t="s">
        <v>33</v>
      </c>
      <c r="E8" s="57" t="s">
        <v>35</v>
      </c>
      <c r="F8" s="60">
        <v>3.0</v>
      </c>
      <c r="G8" s="63">
        <v>45.0</v>
      </c>
      <c r="H8" s="66">
        <v>8.0</v>
      </c>
      <c r="I8" s="81">
        <f t="shared" si="1"/>
        <v>360</v>
      </c>
    </row>
    <row r="9" ht="26.25" customHeight="1">
      <c r="B9" s="41" t="s">
        <v>28</v>
      </c>
      <c r="C9" s="74">
        <v>46303.0</v>
      </c>
      <c r="D9" s="57" t="s">
        <v>33</v>
      </c>
      <c r="E9" s="57" t="s">
        <v>43</v>
      </c>
      <c r="F9" s="60">
        <v>1.0</v>
      </c>
      <c r="G9" s="63">
        <v>35.0</v>
      </c>
      <c r="H9" s="66">
        <v>12.0</v>
      </c>
      <c r="I9" s="81">
        <f t="shared" si="1"/>
        <v>420</v>
      </c>
    </row>
    <row r="10" ht="26.25" customHeight="1">
      <c r="B10" s="41" t="s">
        <v>28</v>
      </c>
      <c r="C10" s="74">
        <v>46303.0</v>
      </c>
      <c r="D10" s="57" t="s">
        <v>33</v>
      </c>
      <c r="E10" s="57" t="s">
        <v>43</v>
      </c>
      <c r="F10" s="60">
        <v>2.0</v>
      </c>
      <c r="G10" s="63">
        <v>40.0</v>
      </c>
      <c r="H10" s="66">
        <v>10.0</v>
      </c>
      <c r="I10" s="81">
        <f t="shared" si="1"/>
        <v>400</v>
      </c>
    </row>
    <row r="11" ht="26.25" customHeight="1">
      <c r="B11" s="41" t="s">
        <v>28</v>
      </c>
      <c r="C11" s="74">
        <v>46303.0</v>
      </c>
      <c r="D11" s="57" t="s">
        <v>33</v>
      </c>
      <c r="E11" s="57" t="s">
        <v>43</v>
      </c>
      <c r="F11" s="60">
        <v>3.0</v>
      </c>
      <c r="G11" s="63">
        <v>40.0</v>
      </c>
      <c r="H11" s="66">
        <v>10.0</v>
      </c>
      <c r="I11" s="81">
        <f t="shared" si="1"/>
        <v>400</v>
      </c>
    </row>
    <row r="12" ht="26.25" customHeight="1">
      <c r="B12" s="41" t="s">
        <v>28</v>
      </c>
      <c r="C12" s="74">
        <v>46303.0</v>
      </c>
      <c r="D12" s="57" t="s">
        <v>33</v>
      </c>
      <c r="E12" s="57" t="s">
        <v>58</v>
      </c>
      <c r="F12" s="60">
        <v>1.0</v>
      </c>
      <c r="G12" s="63">
        <v>14.0</v>
      </c>
      <c r="H12" s="66">
        <v>12.0</v>
      </c>
      <c r="I12" s="81">
        <f t="shared" si="1"/>
        <v>168</v>
      </c>
    </row>
    <row r="13" ht="26.25" customHeight="1">
      <c r="B13" s="41" t="s">
        <v>28</v>
      </c>
      <c r="C13" s="74">
        <v>46303.0</v>
      </c>
      <c r="D13" s="57" t="s">
        <v>33</v>
      </c>
      <c r="E13" s="57" t="s">
        <v>58</v>
      </c>
      <c r="F13" s="60">
        <v>2.0</v>
      </c>
      <c r="G13" s="63">
        <v>16.0</v>
      </c>
      <c r="H13" s="66">
        <v>10.0</v>
      </c>
      <c r="I13" s="81">
        <f t="shared" si="1"/>
        <v>160</v>
      </c>
    </row>
    <row r="14" ht="26.25" customHeight="1">
      <c r="B14" s="41" t="s">
        <v>28</v>
      </c>
      <c r="C14" s="74">
        <v>46303.0</v>
      </c>
      <c r="D14" s="57" t="s">
        <v>33</v>
      </c>
      <c r="E14" s="57" t="s">
        <v>62</v>
      </c>
      <c r="F14" s="60">
        <v>1.0</v>
      </c>
      <c r="G14" s="63">
        <v>10.0</v>
      </c>
      <c r="H14" s="66">
        <v>12.0</v>
      </c>
      <c r="I14" s="81">
        <f t="shared" si="1"/>
        <v>120</v>
      </c>
    </row>
    <row r="15" ht="26.25" customHeight="1">
      <c r="B15" s="41" t="s">
        <v>28</v>
      </c>
      <c r="C15" s="74">
        <v>46303.0</v>
      </c>
      <c r="D15" s="57" t="s">
        <v>33</v>
      </c>
      <c r="E15" s="57" t="s">
        <v>62</v>
      </c>
      <c r="F15" s="60">
        <v>2.0</v>
      </c>
      <c r="G15" s="63">
        <v>12.0</v>
      </c>
      <c r="H15" s="66">
        <v>10.0</v>
      </c>
      <c r="I15" s="81">
        <f t="shared" si="1"/>
        <v>120</v>
      </c>
    </row>
    <row r="16" ht="26.25" customHeight="1">
      <c r="B16" s="41" t="s">
        <v>68</v>
      </c>
      <c r="C16" s="113">
        <v>46303.0</v>
      </c>
      <c r="D16" s="117" t="s">
        <v>33</v>
      </c>
      <c r="E16" s="117" t="s">
        <v>35</v>
      </c>
      <c r="F16" s="119">
        <v>1.0</v>
      </c>
      <c r="G16" s="123">
        <v>15.0</v>
      </c>
      <c r="H16" s="125">
        <v>12.0</v>
      </c>
      <c r="I16" s="126">
        <f t="shared" si="1"/>
        <v>180</v>
      </c>
    </row>
    <row r="17" ht="26.25" customHeight="1">
      <c r="B17" s="41" t="s">
        <v>68</v>
      </c>
      <c r="C17" s="113">
        <v>46303.0</v>
      </c>
      <c r="D17" s="117" t="s">
        <v>33</v>
      </c>
      <c r="E17" s="117" t="s">
        <v>35</v>
      </c>
      <c r="F17" s="119">
        <v>2.0</v>
      </c>
      <c r="G17" s="123">
        <v>17.5</v>
      </c>
      <c r="H17" s="125">
        <v>10.0</v>
      </c>
      <c r="I17" s="126">
        <f t="shared" si="1"/>
        <v>175</v>
      </c>
    </row>
    <row r="18" ht="26.25" customHeight="1">
      <c r="B18" s="41" t="s">
        <v>68</v>
      </c>
      <c r="C18" s="113">
        <v>46303.0</v>
      </c>
      <c r="D18" s="117" t="s">
        <v>33</v>
      </c>
      <c r="E18" s="117" t="s">
        <v>35</v>
      </c>
      <c r="F18" s="119">
        <v>3.0</v>
      </c>
      <c r="G18" s="123">
        <v>20.0</v>
      </c>
      <c r="H18" s="125">
        <v>10.0</v>
      </c>
      <c r="I18" s="126">
        <f t="shared" si="1"/>
        <v>200</v>
      </c>
    </row>
    <row r="19" ht="26.25" customHeight="1">
      <c r="B19" s="143" t="s">
        <v>28</v>
      </c>
      <c r="C19" s="149">
        <v>46303.0</v>
      </c>
      <c r="D19" s="151" t="s">
        <v>40</v>
      </c>
      <c r="E19" s="151" t="s">
        <v>59</v>
      </c>
      <c r="F19" s="152">
        <v>1.0</v>
      </c>
      <c r="G19" s="153">
        <v>25.0</v>
      </c>
      <c r="H19" s="154">
        <v>12.0</v>
      </c>
      <c r="I19" s="156" t="s">
        <v>82</v>
      </c>
    </row>
    <row r="20" ht="26.25" customHeight="1">
      <c r="B20" s="143" t="s">
        <v>28</v>
      </c>
      <c r="C20" s="149">
        <v>46303.0</v>
      </c>
      <c r="D20" s="151" t="s">
        <v>40</v>
      </c>
      <c r="E20" s="151" t="s">
        <v>59</v>
      </c>
      <c r="F20" s="152">
        <v>2.0</v>
      </c>
      <c r="G20" s="153">
        <v>30.0</v>
      </c>
      <c r="H20" s="154">
        <v>12.0</v>
      </c>
      <c r="I20" s="156" t="s">
        <v>83</v>
      </c>
    </row>
    <row r="21" ht="26.25" customHeight="1">
      <c r="B21" s="143" t="s">
        <v>28</v>
      </c>
      <c r="C21" s="149">
        <v>46303.0</v>
      </c>
      <c r="D21" s="151" t="s">
        <v>40</v>
      </c>
      <c r="E21" s="151" t="s">
        <v>59</v>
      </c>
      <c r="F21" s="152">
        <v>3.0</v>
      </c>
      <c r="G21" s="153">
        <v>30.0</v>
      </c>
      <c r="H21" s="154">
        <v>12.0</v>
      </c>
      <c r="I21" s="156" t="s">
        <v>83</v>
      </c>
    </row>
    <row r="22" ht="26.25" customHeight="1">
      <c r="B22" s="143" t="s">
        <v>28</v>
      </c>
      <c r="C22" s="149">
        <v>46303.0</v>
      </c>
      <c r="D22" s="151" t="s">
        <v>40</v>
      </c>
      <c r="E22" s="151" t="s">
        <v>59</v>
      </c>
      <c r="F22" s="152">
        <v>1.0</v>
      </c>
      <c r="G22" s="153">
        <v>25.0</v>
      </c>
      <c r="H22" s="154">
        <v>12.0</v>
      </c>
      <c r="I22" s="156" t="s">
        <v>82</v>
      </c>
    </row>
    <row r="23" ht="26.25" customHeight="1">
      <c r="B23" s="143" t="s">
        <v>28</v>
      </c>
      <c r="C23" s="149">
        <v>46303.0</v>
      </c>
      <c r="D23" s="151" t="s">
        <v>40</v>
      </c>
      <c r="E23" s="151" t="s">
        <v>59</v>
      </c>
      <c r="F23" s="152">
        <v>2.0</v>
      </c>
      <c r="G23" s="153">
        <v>30.0</v>
      </c>
      <c r="H23" s="154">
        <v>12.0</v>
      </c>
      <c r="I23" s="156" t="s">
        <v>83</v>
      </c>
    </row>
    <row r="24" ht="26.25" customHeight="1">
      <c r="B24" s="143" t="s">
        <v>28</v>
      </c>
      <c r="C24" s="149">
        <v>46303.0</v>
      </c>
      <c r="D24" s="151" t="s">
        <v>40</v>
      </c>
      <c r="E24" s="151" t="s">
        <v>59</v>
      </c>
      <c r="F24" s="152">
        <v>3.0</v>
      </c>
      <c r="G24" s="153">
        <v>30.0</v>
      </c>
      <c r="H24" s="154">
        <v>12.0</v>
      </c>
      <c r="I24" s="156" t="s">
        <v>83</v>
      </c>
    </row>
    <row r="25" ht="26.25" customHeight="1">
      <c r="B25" s="143" t="s">
        <v>28</v>
      </c>
      <c r="C25" s="149">
        <v>46303.0</v>
      </c>
      <c r="D25" s="151" t="s">
        <v>71</v>
      </c>
      <c r="E25" s="151" t="s">
        <v>88</v>
      </c>
      <c r="F25" s="152">
        <v>1.0</v>
      </c>
      <c r="G25" s="153">
        <v>25.0</v>
      </c>
      <c r="H25" s="154">
        <v>10.0</v>
      </c>
      <c r="I25" s="156" t="s">
        <v>89</v>
      </c>
    </row>
    <row r="26" ht="26.25" customHeight="1">
      <c r="B26" s="143" t="s">
        <v>28</v>
      </c>
      <c r="C26" s="149">
        <v>46303.0</v>
      </c>
      <c r="D26" s="151" t="s">
        <v>71</v>
      </c>
      <c r="E26" s="151" t="s">
        <v>88</v>
      </c>
      <c r="F26" s="152">
        <v>2.0</v>
      </c>
      <c r="G26" s="153">
        <v>30.0</v>
      </c>
      <c r="H26" s="154">
        <v>10.0</v>
      </c>
      <c r="I26" s="156" t="s">
        <v>82</v>
      </c>
    </row>
    <row r="27" ht="26.25" customHeight="1">
      <c r="B27" s="143" t="s">
        <v>28</v>
      </c>
      <c r="C27" s="149">
        <v>46303.0</v>
      </c>
      <c r="D27" s="151" t="s">
        <v>71</v>
      </c>
      <c r="E27" s="151" t="s">
        <v>88</v>
      </c>
      <c r="F27" s="152">
        <v>3.0</v>
      </c>
      <c r="G27" s="153">
        <v>30.0</v>
      </c>
      <c r="H27" s="154">
        <v>10.0</v>
      </c>
      <c r="I27" s="156" t="s">
        <v>82</v>
      </c>
    </row>
    <row r="28" ht="26.25" customHeight="1">
      <c r="B28" s="143" t="s">
        <v>28</v>
      </c>
      <c r="C28" s="149">
        <v>46303.0</v>
      </c>
      <c r="D28" s="151" t="s">
        <v>71</v>
      </c>
      <c r="E28" s="151" t="s">
        <v>88</v>
      </c>
      <c r="F28" s="152">
        <v>4.0</v>
      </c>
      <c r="G28" s="153">
        <v>30.0</v>
      </c>
      <c r="H28" s="154">
        <v>10.0</v>
      </c>
      <c r="I28" s="156" t="s">
        <v>82</v>
      </c>
    </row>
    <row r="29" ht="26.25" customHeight="1">
      <c r="B29" s="143" t="s">
        <v>25</v>
      </c>
      <c r="C29" s="149">
        <v>46303.0</v>
      </c>
      <c r="D29" s="151" t="s">
        <v>71</v>
      </c>
      <c r="E29" s="151" t="s">
        <v>88</v>
      </c>
      <c r="F29" s="152">
        <v>1.0</v>
      </c>
      <c r="G29" s="153">
        <v>10.0</v>
      </c>
      <c r="H29" s="154">
        <v>10.0</v>
      </c>
      <c r="I29" s="156" t="s">
        <v>94</v>
      </c>
    </row>
    <row r="30" ht="26.25" customHeight="1">
      <c r="B30" s="143" t="s">
        <v>25</v>
      </c>
      <c r="C30" s="149">
        <v>46303.0</v>
      </c>
      <c r="D30" s="151" t="s">
        <v>71</v>
      </c>
      <c r="E30" s="151" t="s">
        <v>88</v>
      </c>
      <c r="F30" s="152">
        <v>2.0</v>
      </c>
      <c r="G30" s="153">
        <v>10.0</v>
      </c>
      <c r="H30" s="154">
        <v>10.0</v>
      </c>
      <c r="I30" s="156" t="s">
        <v>94</v>
      </c>
    </row>
    <row r="31" ht="26.25" customHeight="1">
      <c r="B31" s="143" t="s">
        <v>25</v>
      </c>
      <c r="C31" s="178">
        <v>46303.0</v>
      </c>
      <c r="D31" s="180" t="s">
        <v>96</v>
      </c>
      <c r="E31" s="180" t="s">
        <v>88</v>
      </c>
      <c r="F31" s="183">
        <v>3.0</v>
      </c>
      <c r="G31" s="184">
        <v>10.0</v>
      </c>
      <c r="H31" s="185">
        <v>10.0</v>
      </c>
      <c r="I31" s="186" t="s">
        <v>94</v>
      </c>
    </row>
    <row r="32" ht="26.25" customHeight="1">
      <c r="B32" s="143" t="s">
        <v>25</v>
      </c>
      <c r="C32" s="178">
        <v>46303.0</v>
      </c>
      <c r="D32" s="180" t="s">
        <v>96</v>
      </c>
      <c r="E32" s="180" t="s">
        <v>88</v>
      </c>
      <c r="F32" s="183">
        <v>4.0</v>
      </c>
      <c r="G32" s="184">
        <v>10.0</v>
      </c>
      <c r="H32" s="185">
        <v>10.0</v>
      </c>
      <c r="I32" s="186" t="s">
        <v>94</v>
      </c>
    </row>
    <row r="33" ht="26.25" customHeight="1">
      <c r="B33" s="143" t="s">
        <v>28</v>
      </c>
      <c r="C33" s="178">
        <v>46303.0</v>
      </c>
      <c r="D33" s="180" t="s">
        <v>71</v>
      </c>
      <c r="E33" s="180" t="s">
        <v>100</v>
      </c>
      <c r="F33" s="183">
        <v>1.0</v>
      </c>
      <c r="G33" s="184">
        <v>25.0</v>
      </c>
      <c r="H33" s="185">
        <v>12.0</v>
      </c>
      <c r="I33" s="186" t="s">
        <v>82</v>
      </c>
    </row>
    <row r="34" ht="26.25" customHeight="1">
      <c r="B34" s="143" t="s">
        <v>28</v>
      </c>
      <c r="C34" s="178">
        <v>46303.0</v>
      </c>
      <c r="D34" s="180" t="s">
        <v>71</v>
      </c>
      <c r="E34" s="180" t="s">
        <v>100</v>
      </c>
      <c r="F34" s="183">
        <v>2.0</v>
      </c>
      <c r="G34" s="184">
        <v>25.0</v>
      </c>
      <c r="H34" s="185">
        <v>12.0</v>
      </c>
      <c r="I34" s="186" t="s">
        <v>82</v>
      </c>
    </row>
    <row r="35" ht="26.25" customHeight="1">
      <c r="B35" s="143" t="s">
        <v>28</v>
      </c>
      <c r="C35" s="178">
        <v>46303.0</v>
      </c>
      <c r="D35" s="180" t="s">
        <v>71</v>
      </c>
      <c r="E35" s="180" t="s">
        <v>100</v>
      </c>
      <c r="F35" s="183">
        <v>3.0</v>
      </c>
      <c r="G35" s="184">
        <v>25.0</v>
      </c>
      <c r="H35" s="185">
        <v>15.0</v>
      </c>
      <c r="I35" s="186" t="s">
        <v>102</v>
      </c>
    </row>
    <row r="36" ht="26.25" customHeight="1">
      <c r="B36" s="143" t="s">
        <v>25</v>
      </c>
      <c r="C36" s="178">
        <v>46303.0</v>
      </c>
      <c r="D36" s="180" t="s">
        <v>71</v>
      </c>
      <c r="E36" s="180" t="s">
        <v>100</v>
      </c>
      <c r="F36" s="183">
        <v>1.0</v>
      </c>
      <c r="G36" s="184">
        <v>10.0</v>
      </c>
      <c r="H36" s="185">
        <v>12.0</v>
      </c>
      <c r="I36" s="186" t="s">
        <v>103</v>
      </c>
    </row>
    <row r="37" ht="26.25" customHeight="1">
      <c r="B37" s="143" t="s">
        <v>25</v>
      </c>
      <c r="C37" s="178">
        <v>46303.0</v>
      </c>
      <c r="D37" s="180" t="s">
        <v>71</v>
      </c>
      <c r="E37" s="180" t="s">
        <v>100</v>
      </c>
      <c r="F37" s="183">
        <v>2.0</v>
      </c>
      <c r="G37" s="184">
        <v>10.0</v>
      </c>
      <c r="H37" s="185">
        <v>12.0</v>
      </c>
      <c r="I37" s="186" t="s">
        <v>103</v>
      </c>
    </row>
    <row r="38" ht="26.25" customHeight="1">
      <c r="B38" s="143" t="s">
        <v>25</v>
      </c>
      <c r="C38" s="178">
        <v>46303.0</v>
      </c>
      <c r="D38" s="180" t="s">
        <v>71</v>
      </c>
      <c r="E38" s="180" t="s">
        <v>100</v>
      </c>
      <c r="F38" s="183">
        <v>3.0</v>
      </c>
      <c r="G38" s="184">
        <v>10.0</v>
      </c>
      <c r="H38" s="185">
        <v>15.0</v>
      </c>
      <c r="I38" s="186" t="s">
        <v>107</v>
      </c>
    </row>
    <row r="39" ht="26.25" customHeight="1">
      <c r="B39" s="143" t="s">
        <v>25</v>
      </c>
      <c r="C39" s="178">
        <v>46303.0</v>
      </c>
      <c r="D39" s="180" t="s">
        <v>71</v>
      </c>
      <c r="E39" s="180" t="s">
        <v>62</v>
      </c>
      <c r="F39" s="183">
        <v>1.0</v>
      </c>
      <c r="G39" s="184">
        <v>2.5</v>
      </c>
      <c r="H39" s="185">
        <v>12.0</v>
      </c>
      <c r="I39" s="186" t="s">
        <v>108</v>
      </c>
    </row>
    <row r="40" ht="26.25" customHeight="1">
      <c r="B40" s="143" t="s">
        <v>25</v>
      </c>
      <c r="C40" s="178">
        <v>46303.0</v>
      </c>
      <c r="D40" s="180" t="s">
        <v>71</v>
      </c>
      <c r="E40" s="180" t="s">
        <v>62</v>
      </c>
      <c r="F40" s="183">
        <v>2.0</v>
      </c>
      <c r="G40" s="184">
        <v>2.5</v>
      </c>
      <c r="H40" s="185">
        <v>12.0</v>
      </c>
      <c r="I40" s="186" t="s">
        <v>108</v>
      </c>
    </row>
    <row r="41" ht="26.25" customHeight="1">
      <c r="B41" s="143" t="s">
        <v>25</v>
      </c>
      <c r="C41" s="178">
        <v>46303.0</v>
      </c>
      <c r="D41" s="180" t="s">
        <v>71</v>
      </c>
      <c r="E41" s="180" t="s">
        <v>62</v>
      </c>
      <c r="F41" s="183">
        <v>3.0</v>
      </c>
      <c r="G41" s="184">
        <v>2.5</v>
      </c>
      <c r="H41" s="185">
        <v>12.0</v>
      </c>
      <c r="I41" s="186" t="s">
        <v>110</v>
      </c>
    </row>
    <row r="42" ht="26.25" customHeight="1">
      <c r="B42" s="143" t="s">
        <v>28</v>
      </c>
      <c r="C42" s="178">
        <v>46303.0</v>
      </c>
      <c r="D42" s="180" t="s">
        <v>71</v>
      </c>
      <c r="E42" s="180" t="s">
        <v>62</v>
      </c>
      <c r="F42" s="183">
        <v>1.0</v>
      </c>
      <c r="G42" s="184">
        <v>5.0</v>
      </c>
      <c r="H42" s="185">
        <v>12.0</v>
      </c>
      <c r="I42" s="186" t="s">
        <v>112</v>
      </c>
    </row>
    <row r="43" ht="26.25" customHeight="1">
      <c r="B43" s="143" t="s">
        <v>28</v>
      </c>
      <c r="C43" s="178">
        <v>46303.0</v>
      </c>
      <c r="D43" s="180" t="s">
        <v>71</v>
      </c>
      <c r="E43" s="180" t="s">
        <v>62</v>
      </c>
      <c r="F43" s="183">
        <v>2.0</v>
      </c>
      <c r="G43" s="184">
        <v>5.0</v>
      </c>
      <c r="H43" s="185">
        <v>12.0</v>
      </c>
      <c r="I43" s="186" t="s">
        <v>112</v>
      </c>
    </row>
    <row r="44" ht="26.25" customHeight="1">
      <c r="B44" s="143" t="s">
        <v>28</v>
      </c>
      <c r="C44" s="178">
        <v>46303.0</v>
      </c>
      <c r="D44" s="180" t="s">
        <v>71</v>
      </c>
      <c r="E44" s="180" t="s">
        <v>62</v>
      </c>
      <c r="F44" s="183">
        <v>3.0</v>
      </c>
      <c r="G44" s="184">
        <v>5.0</v>
      </c>
      <c r="H44" s="185">
        <v>12.0</v>
      </c>
      <c r="I44" s="186" t="s">
        <v>112</v>
      </c>
    </row>
    <row r="45" ht="26.25" customHeight="1">
      <c r="B45" s="143" t="s">
        <v>28</v>
      </c>
      <c r="C45" s="178">
        <v>46303.0</v>
      </c>
      <c r="D45" s="180" t="s">
        <v>71</v>
      </c>
      <c r="E45" s="180" t="s">
        <v>115</v>
      </c>
      <c r="F45" s="183">
        <v>1.0</v>
      </c>
      <c r="G45" s="184">
        <v>5.0</v>
      </c>
      <c r="H45" s="185">
        <v>12.0</v>
      </c>
      <c r="I45" s="186" t="s">
        <v>112</v>
      </c>
    </row>
    <row r="46" ht="26.25" customHeight="1">
      <c r="B46" s="143" t="s">
        <v>28</v>
      </c>
      <c r="C46" s="178">
        <v>46303.0</v>
      </c>
      <c r="D46" s="180" t="s">
        <v>71</v>
      </c>
      <c r="E46" s="180" t="s">
        <v>115</v>
      </c>
      <c r="F46" s="183">
        <v>2.0</v>
      </c>
      <c r="G46" s="184">
        <v>5.0</v>
      </c>
      <c r="H46" s="185">
        <v>12.0</v>
      </c>
      <c r="I46" s="186" t="s">
        <v>112</v>
      </c>
    </row>
    <row r="47" ht="26.25" customHeight="1">
      <c r="B47" s="143" t="s">
        <v>28</v>
      </c>
      <c r="C47" s="178">
        <v>46303.0</v>
      </c>
      <c r="D47" s="180" t="s">
        <v>71</v>
      </c>
      <c r="E47" s="180" t="s">
        <v>115</v>
      </c>
      <c r="F47" s="183">
        <v>3.0</v>
      </c>
      <c r="G47" s="184">
        <v>5.0</v>
      </c>
      <c r="H47" s="185">
        <v>12.0</v>
      </c>
      <c r="I47" s="186" t="s">
        <v>112</v>
      </c>
    </row>
    <row r="48" ht="26.25" customHeight="1">
      <c r="B48" s="143" t="s">
        <v>25</v>
      </c>
      <c r="C48" s="178">
        <v>46303.0</v>
      </c>
      <c r="D48" s="180" t="s">
        <v>71</v>
      </c>
      <c r="E48" s="180" t="s">
        <v>115</v>
      </c>
      <c r="F48" s="183">
        <v>1.0</v>
      </c>
      <c r="G48" s="184">
        <v>2.5</v>
      </c>
      <c r="H48" s="185">
        <v>12.0</v>
      </c>
      <c r="I48" s="186" t="s">
        <v>108</v>
      </c>
    </row>
    <row r="49" ht="26.25" customHeight="1">
      <c r="B49" s="143" t="s">
        <v>25</v>
      </c>
      <c r="C49" s="178">
        <v>46303.0</v>
      </c>
      <c r="D49" s="180" t="s">
        <v>71</v>
      </c>
      <c r="E49" s="180" t="s">
        <v>115</v>
      </c>
      <c r="F49" s="183">
        <v>2.0</v>
      </c>
      <c r="G49" s="184">
        <v>2.5</v>
      </c>
      <c r="H49" s="185">
        <v>12.0</v>
      </c>
      <c r="I49" s="186" t="s">
        <v>108</v>
      </c>
    </row>
    <row r="50" ht="26.25" customHeight="1">
      <c r="B50" s="143" t="s">
        <v>25</v>
      </c>
      <c r="C50" s="178">
        <v>46303.0</v>
      </c>
      <c r="D50" s="180" t="s">
        <v>71</v>
      </c>
      <c r="E50" s="180" t="s">
        <v>115</v>
      </c>
      <c r="F50" s="183">
        <v>3.0</v>
      </c>
      <c r="G50" s="184">
        <v>2.5</v>
      </c>
      <c r="H50" s="185">
        <v>12.0</v>
      </c>
      <c r="I50" s="186" t="s">
        <v>108</v>
      </c>
    </row>
    <row r="51" ht="26.25" customHeight="1">
      <c r="B51" s="143" t="s">
        <v>28</v>
      </c>
      <c r="C51" s="178">
        <v>46303.0</v>
      </c>
      <c r="D51" s="180" t="s">
        <v>71</v>
      </c>
      <c r="E51" s="180" t="s">
        <v>124</v>
      </c>
      <c r="F51" s="183">
        <v>1.0</v>
      </c>
      <c r="G51" s="184">
        <v>20.0</v>
      </c>
      <c r="H51" s="185">
        <v>12.0</v>
      </c>
      <c r="I51" s="186" t="s">
        <v>125</v>
      </c>
    </row>
    <row r="52" ht="26.25" customHeight="1">
      <c r="B52" s="143" t="s">
        <v>28</v>
      </c>
      <c r="C52" s="178">
        <v>46303.0</v>
      </c>
      <c r="D52" s="180" t="s">
        <v>71</v>
      </c>
      <c r="E52" s="180" t="s">
        <v>124</v>
      </c>
      <c r="F52" s="183">
        <v>2.0</v>
      </c>
      <c r="G52" s="184">
        <v>20.0</v>
      </c>
      <c r="H52" s="185">
        <v>12.0</v>
      </c>
      <c r="I52" s="186" t="s">
        <v>125</v>
      </c>
    </row>
    <row r="53" ht="26.25" customHeight="1">
      <c r="B53" s="143" t="s">
        <v>28</v>
      </c>
      <c r="C53" s="178">
        <v>46303.0</v>
      </c>
      <c r="D53" s="180" t="s">
        <v>71</v>
      </c>
      <c r="E53" s="180" t="s">
        <v>124</v>
      </c>
      <c r="F53" s="183">
        <v>3.0</v>
      </c>
      <c r="G53" s="184">
        <v>20.0</v>
      </c>
      <c r="H53" s="185">
        <v>12.0</v>
      </c>
      <c r="I53" s="186" t="s">
        <v>125</v>
      </c>
    </row>
    <row r="54" ht="26.25" customHeight="1">
      <c r="B54" s="143" t="s">
        <v>28</v>
      </c>
      <c r="C54" s="178">
        <v>46303.0</v>
      </c>
      <c r="D54" s="180" t="s">
        <v>127</v>
      </c>
      <c r="E54" s="180" t="s">
        <v>128</v>
      </c>
      <c r="F54" s="183">
        <v>1.0</v>
      </c>
      <c r="G54" s="184">
        <v>10.0</v>
      </c>
      <c r="H54" s="185">
        <v>12.0</v>
      </c>
      <c r="I54" s="186" t="s">
        <v>103</v>
      </c>
    </row>
    <row r="55" ht="26.25" customHeight="1">
      <c r="B55" s="143" t="s">
        <v>28</v>
      </c>
      <c r="C55" s="178">
        <v>46303.0</v>
      </c>
      <c r="D55" s="180" t="s">
        <v>127</v>
      </c>
      <c r="E55" s="180" t="s">
        <v>128</v>
      </c>
      <c r="F55" s="183">
        <v>2.0</v>
      </c>
      <c r="G55" s="184">
        <v>7.5</v>
      </c>
      <c r="H55" s="185">
        <v>12.0</v>
      </c>
      <c r="I55" s="186" t="s">
        <v>130</v>
      </c>
    </row>
    <row r="56" ht="26.25" customHeight="1">
      <c r="B56" s="143" t="s">
        <v>28</v>
      </c>
      <c r="C56" s="178">
        <v>46303.0</v>
      </c>
      <c r="D56" s="180" t="s">
        <v>127</v>
      </c>
      <c r="E56" s="180" t="s">
        <v>128</v>
      </c>
      <c r="F56" s="183">
        <v>3.0</v>
      </c>
      <c r="G56" s="184">
        <v>7.5</v>
      </c>
      <c r="H56" s="185">
        <v>12.0</v>
      </c>
      <c r="I56" s="186" t="s">
        <v>130</v>
      </c>
    </row>
    <row r="57" ht="26.25" customHeight="1">
      <c r="B57" s="143" t="s">
        <v>28</v>
      </c>
      <c r="C57" s="178">
        <v>46303.0</v>
      </c>
      <c r="D57" s="180" t="s">
        <v>127</v>
      </c>
      <c r="E57" s="180" t="s">
        <v>133</v>
      </c>
      <c r="F57" s="183">
        <v>1.0</v>
      </c>
      <c r="G57" s="184">
        <v>5.0</v>
      </c>
      <c r="H57" s="185">
        <v>12.0</v>
      </c>
      <c r="I57" s="186" t="s">
        <v>112</v>
      </c>
    </row>
    <row r="58" ht="26.25" customHeight="1">
      <c r="B58" s="143" t="s">
        <v>28</v>
      </c>
      <c r="C58" s="178">
        <v>46303.0</v>
      </c>
      <c r="D58" s="180" t="s">
        <v>127</v>
      </c>
      <c r="E58" s="180" t="s">
        <v>133</v>
      </c>
      <c r="F58" s="183">
        <v>2.0</v>
      </c>
      <c r="G58" s="184">
        <v>5.0</v>
      </c>
      <c r="H58" s="185">
        <v>12.0</v>
      </c>
      <c r="I58" s="186" t="s">
        <v>112</v>
      </c>
    </row>
    <row r="59" ht="26.25" customHeight="1">
      <c r="B59" s="143" t="s">
        <v>28</v>
      </c>
      <c r="C59" s="178">
        <v>46303.0</v>
      </c>
      <c r="D59" s="180" t="s">
        <v>127</v>
      </c>
      <c r="E59" s="180" t="s">
        <v>133</v>
      </c>
      <c r="F59" s="183">
        <v>3.0</v>
      </c>
      <c r="G59" s="184">
        <v>5.0</v>
      </c>
      <c r="H59" s="185">
        <v>12.0</v>
      </c>
      <c r="I59" s="186" t="s">
        <v>112</v>
      </c>
    </row>
    <row r="60" ht="26.25" customHeight="1">
      <c r="B60" s="143" t="s">
        <v>28</v>
      </c>
      <c r="C60" s="178">
        <v>46303.0</v>
      </c>
      <c r="D60" s="180" t="s">
        <v>127</v>
      </c>
      <c r="E60" s="180" t="s">
        <v>131</v>
      </c>
      <c r="F60" s="183">
        <v>1.0</v>
      </c>
      <c r="G60" s="184">
        <v>20.0</v>
      </c>
      <c r="H60" s="185">
        <v>12.0</v>
      </c>
      <c r="I60" s="186" t="s">
        <v>125</v>
      </c>
    </row>
    <row r="61" ht="26.25" customHeight="1">
      <c r="B61" s="143" t="s">
        <v>28</v>
      </c>
      <c r="C61" s="178">
        <v>46303.0</v>
      </c>
      <c r="D61" s="180" t="s">
        <v>127</v>
      </c>
      <c r="E61" s="180" t="s">
        <v>131</v>
      </c>
      <c r="F61" s="183">
        <v>2.0</v>
      </c>
      <c r="G61" s="184">
        <v>20.0</v>
      </c>
      <c r="H61" s="185">
        <v>12.0</v>
      </c>
      <c r="I61" s="186" t="s">
        <v>125</v>
      </c>
    </row>
    <row r="62" ht="26.25" customHeight="1">
      <c r="B62" s="143" t="s">
        <v>28</v>
      </c>
      <c r="C62" s="178">
        <v>46303.0</v>
      </c>
      <c r="D62" s="180" t="s">
        <v>127</v>
      </c>
      <c r="E62" s="180" t="s">
        <v>131</v>
      </c>
      <c r="F62" s="183">
        <v>3.0</v>
      </c>
      <c r="G62" s="184">
        <v>20.0</v>
      </c>
      <c r="H62" s="185">
        <v>12.0</v>
      </c>
      <c r="I62" s="186" t="s">
        <v>125</v>
      </c>
    </row>
    <row r="63" ht="26.25" customHeight="1">
      <c r="B63" s="143" t="s">
        <v>28</v>
      </c>
      <c r="C63" s="178">
        <v>46303.0</v>
      </c>
      <c r="D63" s="180" t="s">
        <v>127</v>
      </c>
      <c r="E63" s="180" t="s">
        <v>137</v>
      </c>
      <c r="F63" s="183">
        <v>1.0</v>
      </c>
      <c r="G63" s="184">
        <v>40.0</v>
      </c>
      <c r="H63" s="185">
        <v>15.0</v>
      </c>
      <c r="I63" s="186" t="s">
        <v>138</v>
      </c>
    </row>
    <row r="64" ht="26.25" customHeight="1">
      <c r="B64" s="143" t="s">
        <v>28</v>
      </c>
      <c r="C64" s="178">
        <v>46303.0</v>
      </c>
      <c r="D64" s="180" t="s">
        <v>127</v>
      </c>
      <c r="E64" s="180" t="s">
        <v>137</v>
      </c>
      <c r="F64" s="183">
        <v>2.0</v>
      </c>
      <c r="G64" s="184">
        <v>40.0</v>
      </c>
      <c r="H64" s="185">
        <v>15.0</v>
      </c>
      <c r="I64" s="186" t="s">
        <v>138</v>
      </c>
    </row>
    <row r="65" ht="26.25" customHeight="1">
      <c r="B65" s="143" t="s">
        <v>28</v>
      </c>
      <c r="C65" s="178">
        <v>46303.0</v>
      </c>
      <c r="D65" s="180" t="s">
        <v>127</v>
      </c>
      <c r="E65" s="180" t="s">
        <v>137</v>
      </c>
      <c r="F65" s="183">
        <v>3.0</v>
      </c>
      <c r="G65" s="184">
        <v>40.0</v>
      </c>
      <c r="H65" s="185">
        <v>15.0</v>
      </c>
      <c r="I65" s="186" t="s">
        <v>138</v>
      </c>
    </row>
    <row r="66" ht="26.25" customHeight="1">
      <c r="B66" s="143" t="s">
        <v>28</v>
      </c>
      <c r="C66" s="178">
        <v>46303.0</v>
      </c>
      <c r="D66" s="180" t="s">
        <v>127</v>
      </c>
      <c r="E66" s="180" t="s">
        <v>137</v>
      </c>
      <c r="F66" s="183">
        <v>4.0</v>
      </c>
      <c r="G66" s="184">
        <v>40.0</v>
      </c>
      <c r="H66" s="185">
        <v>15.0</v>
      </c>
      <c r="I66" s="186" t="s">
        <v>138</v>
      </c>
    </row>
    <row r="67" ht="26.25" customHeight="1">
      <c r="B67" s="143" t="s">
        <v>28</v>
      </c>
      <c r="C67" s="178">
        <v>46303.0</v>
      </c>
      <c r="D67" s="180" t="s">
        <v>141</v>
      </c>
      <c r="E67" s="180" t="s">
        <v>35</v>
      </c>
      <c r="F67" s="183">
        <v>1.0</v>
      </c>
      <c r="G67" s="184">
        <v>7.5</v>
      </c>
      <c r="H67" s="185">
        <v>12.0</v>
      </c>
      <c r="I67" s="186" t="s">
        <v>130</v>
      </c>
    </row>
    <row r="68" ht="26.25" customHeight="1">
      <c r="B68" s="143" t="s">
        <v>28</v>
      </c>
      <c r="C68" s="178">
        <v>46303.0</v>
      </c>
      <c r="D68" s="180" t="s">
        <v>141</v>
      </c>
      <c r="E68" s="180" t="s">
        <v>35</v>
      </c>
      <c r="F68" s="183">
        <v>2.0</v>
      </c>
      <c r="G68" s="184">
        <v>10.0</v>
      </c>
      <c r="H68" s="185">
        <v>12.0</v>
      </c>
      <c r="I68" s="186" t="s">
        <v>103</v>
      </c>
    </row>
    <row r="69" ht="26.25" customHeight="1">
      <c r="B69" s="143" t="s">
        <v>28</v>
      </c>
      <c r="C69" s="178">
        <v>46303.0</v>
      </c>
      <c r="D69" s="180" t="s">
        <v>141</v>
      </c>
      <c r="E69" s="180" t="s">
        <v>35</v>
      </c>
      <c r="F69" s="183">
        <v>3.0</v>
      </c>
      <c r="G69" s="184">
        <v>10.0</v>
      </c>
      <c r="H69" s="185">
        <v>12.0</v>
      </c>
      <c r="I69" s="186" t="s">
        <v>103</v>
      </c>
    </row>
    <row r="70" ht="26.25" customHeight="1">
      <c r="B70" s="143" t="s">
        <v>28</v>
      </c>
      <c r="C70" s="178">
        <v>46303.0</v>
      </c>
      <c r="D70" s="180" t="s">
        <v>141</v>
      </c>
      <c r="E70" s="180" t="s">
        <v>35</v>
      </c>
      <c r="F70" s="183">
        <v>4.0</v>
      </c>
      <c r="G70" s="184">
        <v>10.0</v>
      </c>
      <c r="H70" s="185">
        <v>12.0</v>
      </c>
      <c r="I70" s="186" t="s">
        <v>103</v>
      </c>
    </row>
    <row r="71" ht="26.25" customHeight="1">
      <c r="B71" s="143" t="s">
        <v>28</v>
      </c>
      <c r="C71" s="178">
        <v>46303.0</v>
      </c>
      <c r="D71" s="180" t="s">
        <v>141</v>
      </c>
      <c r="E71" s="180" t="s">
        <v>58</v>
      </c>
      <c r="F71" s="183">
        <v>1.0</v>
      </c>
      <c r="G71" s="184">
        <v>7.5</v>
      </c>
      <c r="H71" s="185">
        <v>15.0</v>
      </c>
      <c r="I71" s="186" t="s">
        <v>145</v>
      </c>
    </row>
    <row r="72" ht="26.25" customHeight="1">
      <c r="B72" s="143" t="s">
        <v>28</v>
      </c>
      <c r="C72" s="178">
        <v>46303.0</v>
      </c>
      <c r="D72" s="180" t="s">
        <v>141</v>
      </c>
      <c r="E72" s="180" t="s">
        <v>58</v>
      </c>
      <c r="F72" s="183">
        <v>2.0</v>
      </c>
      <c r="G72" s="184">
        <v>7.5</v>
      </c>
      <c r="H72" s="185">
        <v>15.0</v>
      </c>
      <c r="I72" s="186" t="s">
        <v>145</v>
      </c>
    </row>
    <row r="73" ht="26.25" customHeight="1">
      <c r="B73" s="143" t="s">
        <v>28</v>
      </c>
      <c r="C73" s="178">
        <v>46303.0</v>
      </c>
      <c r="D73" s="180" t="s">
        <v>141</v>
      </c>
      <c r="E73" s="180" t="s">
        <v>58</v>
      </c>
      <c r="F73" s="183">
        <v>3.0</v>
      </c>
      <c r="G73" s="184">
        <v>7.5</v>
      </c>
      <c r="H73" s="185">
        <v>15.0</v>
      </c>
      <c r="I73" s="186" t="s">
        <v>145</v>
      </c>
    </row>
    <row r="74" ht="26.25" customHeight="1">
      <c r="B74" s="143" t="s">
        <v>28</v>
      </c>
      <c r="C74" s="178">
        <v>46303.0</v>
      </c>
      <c r="D74" s="180" t="s">
        <v>141</v>
      </c>
      <c r="E74" s="180" t="s">
        <v>62</v>
      </c>
      <c r="F74" s="183">
        <v>1.0</v>
      </c>
      <c r="G74" s="184">
        <v>18.0</v>
      </c>
      <c r="H74" s="185">
        <v>15.0</v>
      </c>
      <c r="I74" s="186" t="s">
        <v>147</v>
      </c>
    </row>
    <row r="75" ht="26.25" customHeight="1">
      <c r="B75" s="143" t="s">
        <v>28</v>
      </c>
      <c r="C75" s="178">
        <v>46303.0</v>
      </c>
      <c r="D75" s="180" t="s">
        <v>141</v>
      </c>
      <c r="E75" s="180" t="s">
        <v>62</v>
      </c>
      <c r="F75" s="183">
        <v>2.0</v>
      </c>
      <c r="G75" s="184">
        <v>18.0</v>
      </c>
      <c r="H75" s="185">
        <v>15.0</v>
      </c>
      <c r="I75" s="186" t="s">
        <v>147</v>
      </c>
    </row>
    <row r="76" ht="26.25" customHeight="1">
      <c r="B76" s="143" t="s">
        <v>28</v>
      </c>
      <c r="C76" s="178">
        <v>46303.0</v>
      </c>
      <c r="D76" s="180" t="s">
        <v>141</v>
      </c>
      <c r="E76" s="180" t="s">
        <v>62</v>
      </c>
      <c r="F76" s="183">
        <v>3.0</v>
      </c>
      <c r="G76" s="184">
        <v>18.0</v>
      </c>
      <c r="H76" s="185">
        <v>10.0</v>
      </c>
      <c r="I76" s="186" t="s">
        <v>149</v>
      </c>
    </row>
    <row r="77" ht="26.25" customHeight="1">
      <c r="B77" s="143" t="s">
        <v>28</v>
      </c>
      <c r="C77" s="178">
        <v>46303.0</v>
      </c>
      <c r="D77" s="180" t="s">
        <v>141</v>
      </c>
      <c r="E77" s="180" t="s">
        <v>43</v>
      </c>
      <c r="F77" s="183">
        <v>1.0</v>
      </c>
      <c r="G77" s="184">
        <v>30.0</v>
      </c>
      <c r="H77" s="185">
        <v>12.0</v>
      </c>
      <c r="I77" s="186" t="s">
        <v>83</v>
      </c>
    </row>
    <row r="78" ht="26.25" customHeight="1">
      <c r="B78" s="143" t="s">
        <v>28</v>
      </c>
      <c r="C78" s="178">
        <v>46303.0</v>
      </c>
      <c r="D78" s="180" t="s">
        <v>141</v>
      </c>
      <c r="E78" s="180" t="s">
        <v>43</v>
      </c>
      <c r="F78" s="183">
        <v>2.0</v>
      </c>
      <c r="G78" s="184">
        <v>30.0</v>
      </c>
      <c r="H78" s="185">
        <v>12.0</v>
      </c>
      <c r="I78" s="186" t="s">
        <v>83</v>
      </c>
    </row>
    <row r="79" ht="26.25" customHeight="1">
      <c r="B79" s="143" t="s">
        <v>28</v>
      </c>
      <c r="C79" s="178">
        <v>46303.0</v>
      </c>
      <c r="D79" s="180" t="s">
        <v>141</v>
      </c>
      <c r="E79" s="180" t="s">
        <v>43</v>
      </c>
      <c r="F79" s="183">
        <v>3.0</v>
      </c>
      <c r="G79" s="184">
        <v>30.0</v>
      </c>
      <c r="H79" s="185">
        <v>12.0</v>
      </c>
      <c r="I79" s="186" t="s">
        <v>83</v>
      </c>
    </row>
    <row r="80" ht="26.25" customHeight="1">
      <c r="B80" s="143" t="s">
        <v>28</v>
      </c>
      <c r="C80" s="178">
        <v>46303.0</v>
      </c>
      <c r="D80" s="180" t="s">
        <v>141</v>
      </c>
      <c r="E80" s="180" t="s">
        <v>43</v>
      </c>
      <c r="F80" s="183">
        <v>4.0</v>
      </c>
      <c r="G80" s="184">
        <v>30.0</v>
      </c>
      <c r="H80" s="185">
        <v>12.0</v>
      </c>
      <c r="I80" s="186" t="s">
        <v>83</v>
      </c>
    </row>
    <row r="81" ht="26.25" customHeight="1">
      <c r="B81" s="143" t="s">
        <v>28</v>
      </c>
      <c r="C81" s="178">
        <v>46303.0</v>
      </c>
      <c r="D81" s="180" t="s">
        <v>141</v>
      </c>
      <c r="E81" s="180" t="s">
        <v>122</v>
      </c>
      <c r="F81" s="183">
        <v>1.0</v>
      </c>
      <c r="G81" s="184">
        <v>10.0</v>
      </c>
      <c r="H81" s="185">
        <v>12.0</v>
      </c>
      <c r="I81" s="186" t="s">
        <v>103</v>
      </c>
    </row>
    <row r="82" ht="26.25" customHeight="1">
      <c r="B82" s="143" t="s">
        <v>28</v>
      </c>
      <c r="C82" s="178">
        <v>46303.0</v>
      </c>
      <c r="D82" s="180" t="s">
        <v>141</v>
      </c>
      <c r="E82" s="180" t="s">
        <v>122</v>
      </c>
      <c r="F82" s="183">
        <v>2.0</v>
      </c>
      <c r="G82" s="184">
        <v>10.0</v>
      </c>
      <c r="H82" s="185">
        <v>12.0</v>
      </c>
      <c r="I82" s="186" t="s">
        <v>103</v>
      </c>
    </row>
    <row r="83" ht="26.25" customHeight="1">
      <c r="B83" s="143" t="s">
        <v>28</v>
      </c>
      <c r="C83" s="178">
        <v>46303.0</v>
      </c>
      <c r="D83" s="180" t="s">
        <v>141</v>
      </c>
      <c r="E83" s="180" t="s">
        <v>122</v>
      </c>
      <c r="F83" s="183">
        <v>3.0</v>
      </c>
      <c r="G83" s="184">
        <v>10.0</v>
      </c>
      <c r="H83" s="185">
        <v>12.0</v>
      </c>
      <c r="I83" s="186" t="s">
        <v>103</v>
      </c>
    </row>
    <row r="84" ht="26.25" customHeight="1">
      <c r="B84" s="143" t="s">
        <v>28</v>
      </c>
      <c r="C84" s="178">
        <v>46303.0</v>
      </c>
      <c r="D84" s="180" t="s">
        <v>141</v>
      </c>
      <c r="E84" s="180" t="s">
        <v>122</v>
      </c>
      <c r="F84" s="183">
        <v>4.0</v>
      </c>
      <c r="G84" s="184">
        <v>10.0</v>
      </c>
      <c r="H84" s="185">
        <v>12.0</v>
      </c>
      <c r="I84" s="186" t="s">
        <v>103</v>
      </c>
    </row>
    <row r="85" ht="26.25" customHeight="1">
      <c r="B85" s="143" t="s">
        <v>25</v>
      </c>
      <c r="C85" s="178">
        <v>46303.0</v>
      </c>
      <c r="D85" s="180" t="s">
        <v>40</v>
      </c>
      <c r="E85" s="180" t="s">
        <v>18</v>
      </c>
      <c r="F85" s="183">
        <v>1.0</v>
      </c>
      <c r="G85" s="184">
        <v>2.5</v>
      </c>
      <c r="H85" s="185">
        <v>12.0</v>
      </c>
      <c r="I85" s="186" t="s">
        <v>108</v>
      </c>
    </row>
    <row r="86" ht="26.25" customHeight="1">
      <c r="B86" s="143" t="s">
        <v>25</v>
      </c>
      <c r="C86" s="178">
        <v>46303.0</v>
      </c>
      <c r="D86" s="180" t="s">
        <v>40</v>
      </c>
      <c r="E86" s="180" t="s">
        <v>18</v>
      </c>
      <c r="F86" s="183">
        <v>2.0</v>
      </c>
      <c r="G86" s="184">
        <v>2.5</v>
      </c>
      <c r="H86" s="185">
        <v>12.0</v>
      </c>
      <c r="I86" s="186" t="s">
        <v>108</v>
      </c>
    </row>
    <row r="87" ht="26.25" customHeight="1">
      <c r="B87" s="143" t="s">
        <v>25</v>
      </c>
      <c r="C87" s="178">
        <v>46303.0</v>
      </c>
      <c r="D87" s="180" t="s">
        <v>40</v>
      </c>
      <c r="E87" s="180" t="s">
        <v>18</v>
      </c>
      <c r="F87" s="183">
        <v>3.0</v>
      </c>
      <c r="G87" s="184">
        <v>2.5</v>
      </c>
      <c r="H87" s="185">
        <v>12.0</v>
      </c>
      <c r="I87" s="186" t="s">
        <v>108</v>
      </c>
    </row>
    <row r="88" ht="26.25" customHeight="1">
      <c r="B88" s="143" t="s">
        <v>25</v>
      </c>
      <c r="C88" s="178">
        <v>46303.0</v>
      </c>
      <c r="D88" s="180" t="s">
        <v>40</v>
      </c>
      <c r="E88" s="180" t="s">
        <v>18</v>
      </c>
      <c r="F88" s="183">
        <v>4.0</v>
      </c>
      <c r="G88" s="184">
        <v>2.5</v>
      </c>
      <c r="H88" s="185">
        <v>9.0</v>
      </c>
      <c r="I88" s="186" t="s">
        <v>169</v>
      </c>
    </row>
    <row r="89" ht="26.25" customHeight="1">
      <c r="B89" s="143" t="s">
        <v>28</v>
      </c>
      <c r="C89" s="178">
        <v>46303.0</v>
      </c>
      <c r="D89" s="180" t="s">
        <v>40</v>
      </c>
      <c r="E89" s="180" t="s">
        <v>18</v>
      </c>
      <c r="F89" s="183">
        <v>1.0</v>
      </c>
      <c r="G89" s="184">
        <v>10.0</v>
      </c>
      <c r="H89" s="185">
        <v>12.0</v>
      </c>
      <c r="I89" s="186" t="s">
        <v>103</v>
      </c>
    </row>
    <row r="90" ht="26.25" customHeight="1">
      <c r="B90" s="143" t="s">
        <v>28</v>
      </c>
      <c r="C90" s="178">
        <v>46303.0</v>
      </c>
      <c r="D90" s="180" t="s">
        <v>40</v>
      </c>
      <c r="E90" s="180" t="s">
        <v>18</v>
      </c>
      <c r="F90" s="183">
        <v>2.0</v>
      </c>
      <c r="G90" s="184">
        <v>10.0</v>
      </c>
      <c r="H90" s="185">
        <v>12.0</v>
      </c>
      <c r="I90" s="186" t="s">
        <v>103</v>
      </c>
    </row>
    <row r="91" ht="26.25" customHeight="1">
      <c r="B91" s="143" t="s">
        <v>28</v>
      </c>
      <c r="C91" s="178">
        <v>46303.0</v>
      </c>
      <c r="D91" s="180" t="s">
        <v>40</v>
      </c>
      <c r="E91" s="180" t="s">
        <v>18</v>
      </c>
      <c r="F91" s="183">
        <v>3.0</v>
      </c>
      <c r="G91" s="184">
        <v>12.5</v>
      </c>
      <c r="H91" s="185">
        <v>12.0</v>
      </c>
      <c r="I91" s="186" t="s">
        <v>107</v>
      </c>
    </row>
    <row r="92" ht="26.25" customHeight="1">
      <c r="B92" s="143" t="s">
        <v>28</v>
      </c>
      <c r="C92" s="178">
        <v>46303.0</v>
      </c>
      <c r="D92" s="180" t="s">
        <v>40</v>
      </c>
      <c r="E92" s="180" t="s">
        <v>18</v>
      </c>
      <c r="F92" s="183">
        <v>4.0</v>
      </c>
      <c r="G92" s="184">
        <v>12.5</v>
      </c>
      <c r="H92" s="185">
        <v>12.0</v>
      </c>
      <c r="I92" s="186" t="s">
        <v>107</v>
      </c>
    </row>
    <row r="93" ht="26.25" customHeight="1">
      <c r="B93" s="143" t="s">
        <v>25</v>
      </c>
      <c r="C93" s="178">
        <v>46303.0</v>
      </c>
      <c r="D93" s="180" t="s">
        <v>40</v>
      </c>
      <c r="E93" s="180" t="s">
        <v>18</v>
      </c>
      <c r="F93" s="183">
        <v>1.0</v>
      </c>
      <c r="G93" s="184">
        <v>2.5</v>
      </c>
      <c r="H93" s="185">
        <v>6.0</v>
      </c>
      <c r="I93" s="186" t="s">
        <v>186</v>
      </c>
    </row>
    <row r="94" ht="26.25" customHeight="1">
      <c r="B94" s="143" t="s">
        <v>28</v>
      </c>
      <c r="C94" s="178">
        <v>46303.0</v>
      </c>
      <c r="D94" s="180" t="s">
        <v>40</v>
      </c>
      <c r="E94" s="180" t="s">
        <v>32</v>
      </c>
      <c r="F94" s="183">
        <v>1.0</v>
      </c>
      <c r="G94" s="184">
        <v>10.0</v>
      </c>
      <c r="H94" s="185">
        <v>12.0</v>
      </c>
      <c r="I94" s="186" t="s">
        <v>103</v>
      </c>
    </row>
    <row r="95" ht="26.25" customHeight="1">
      <c r="B95" s="143" t="s">
        <v>28</v>
      </c>
      <c r="C95" s="178">
        <v>46303.0</v>
      </c>
      <c r="D95" s="180" t="s">
        <v>40</v>
      </c>
      <c r="E95" s="180" t="s">
        <v>32</v>
      </c>
      <c r="F95" s="183">
        <v>2.0</v>
      </c>
      <c r="G95" s="184">
        <v>10.0</v>
      </c>
      <c r="H95" s="185">
        <v>12.0</v>
      </c>
      <c r="I95" s="186" t="s">
        <v>103</v>
      </c>
    </row>
    <row r="96" ht="26.25" customHeight="1">
      <c r="B96" s="143" t="s">
        <v>28</v>
      </c>
      <c r="C96" s="178">
        <v>46303.0</v>
      </c>
      <c r="D96" s="180" t="s">
        <v>40</v>
      </c>
      <c r="E96" s="180" t="s">
        <v>32</v>
      </c>
      <c r="F96" s="183">
        <v>3.0</v>
      </c>
      <c r="G96" s="184">
        <v>12.5</v>
      </c>
      <c r="H96" s="185">
        <v>12.0</v>
      </c>
      <c r="I96" s="186" t="s">
        <v>107</v>
      </c>
    </row>
    <row r="97" ht="26.25" customHeight="1">
      <c r="B97" s="143" t="s">
        <v>28</v>
      </c>
      <c r="C97" s="178">
        <v>46303.0</v>
      </c>
      <c r="D97" s="180" t="s">
        <v>40</v>
      </c>
      <c r="E97" s="180" t="s">
        <v>32</v>
      </c>
      <c r="F97" s="183">
        <v>4.0</v>
      </c>
      <c r="G97" s="184">
        <v>12.5</v>
      </c>
      <c r="H97" s="185">
        <v>12.0</v>
      </c>
      <c r="I97" s="186" t="s">
        <v>107</v>
      </c>
    </row>
    <row r="98" ht="26.25" customHeight="1">
      <c r="B98" s="143" t="s">
        <v>25</v>
      </c>
      <c r="C98" s="178">
        <v>46303.0</v>
      </c>
      <c r="D98" s="180" t="s">
        <v>40</v>
      </c>
      <c r="E98" s="180" t="s">
        <v>32</v>
      </c>
      <c r="F98" s="183">
        <v>1.0</v>
      </c>
      <c r="G98" s="184">
        <v>1.0</v>
      </c>
      <c r="H98" s="185">
        <v>12.0</v>
      </c>
      <c r="I98" s="186" t="s">
        <v>208</v>
      </c>
    </row>
    <row r="99" ht="26.25" customHeight="1">
      <c r="B99" s="143" t="s">
        <v>25</v>
      </c>
      <c r="C99" s="178">
        <v>46303.0</v>
      </c>
      <c r="D99" s="180" t="s">
        <v>40</v>
      </c>
      <c r="E99" s="180" t="s">
        <v>32</v>
      </c>
      <c r="F99" s="183">
        <v>2.0</v>
      </c>
      <c r="G99" s="184">
        <v>1.0</v>
      </c>
      <c r="H99" s="185">
        <v>12.0</v>
      </c>
      <c r="I99" s="186" t="s">
        <v>208</v>
      </c>
    </row>
    <row r="100" ht="26.25" customHeight="1">
      <c r="B100" s="143" t="s">
        <v>25</v>
      </c>
      <c r="C100" s="178">
        <v>46303.0</v>
      </c>
      <c r="D100" s="180" t="s">
        <v>40</v>
      </c>
      <c r="E100" s="180" t="s">
        <v>32</v>
      </c>
      <c r="F100" s="183">
        <v>3.0</v>
      </c>
      <c r="G100" s="184">
        <v>2.5</v>
      </c>
      <c r="H100" s="185">
        <v>12.0</v>
      </c>
      <c r="I100" s="186" t="s">
        <v>108</v>
      </c>
    </row>
    <row r="101" ht="26.25" customHeight="1">
      <c r="B101" s="143" t="s">
        <v>25</v>
      </c>
      <c r="C101" s="178">
        <v>46303.0</v>
      </c>
      <c r="D101" s="180" t="s">
        <v>40</v>
      </c>
      <c r="E101" s="180" t="s">
        <v>32</v>
      </c>
      <c r="F101" s="183">
        <v>4.0</v>
      </c>
      <c r="G101" s="184">
        <v>2.5</v>
      </c>
      <c r="H101" s="185">
        <v>12.0</v>
      </c>
      <c r="I101" s="186" t="s">
        <v>108</v>
      </c>
    </row>
    <row r="102" ht="26.25" customHeight="1">
      <c r="B102" s="143" t="s">
        <v>28</v>
      </c>
      <c r="C102" s="178">
        <v>46303.0</v>
      </c>
      <c r="D102" s="180" t="s">
        <v>40</v>
      </c>
      <c r="E102" s="180" t="s">
        <v>37</v>
      </c>
      <c r="F102" s="183">
        <v>1.0</v>
      </c>
      <c r="G102" s="184">
        <v>15.0</v>
      </c>
      <c r="H102" s="185">
        <v>12.0</v>
      </c>
      <c r="I102" s="186" t="s">
        <v>149</v>
      </c>
    </row>
    <row r="103" ht="26.25" customHeight="1">
      <c r="B103" s="143" t="s">
        <v>28</v>
      </c>
      <c r="C103" s="178">
        <v>46303.0</v>
      </c>
      <c r="D103" s="180" t="s">
        <v>40</v>
      </c>
      <c r="E103" s="180" t="s">
        <v>37</v>
      </c>
      <c r="F103" s="183">
        <v>2.0</v>
      </c>
      <c r="G103" s="184">
        <v>15.0</v>
      </c>
      <c r="H103" s="185">
        <v>12.0</v>
      </c>
      <c r="I103" s="186" t="s">
        <v>149</v>
      </c>
    </row>
    <row r="104" ht="26.25" customHeight="1">
      <c r="B104" s="143" t="s">
        <v>28</v>
      </c>
      <c r="C104" s="178">
        <v>46303.0</v>
      </c>
      <c r="D104" s="180" t="s">
        <v>40</v>
      </c>
      <c r="E104" s="180" t="s">
        <v>37</v>
      </c>
      <c r="F104" s="183">
        <v>3.0</v>
      </c>
      <c r="G104" s="184">
        <v>10.0</v>
      </c>
      <c r="H104" s="185">
        <v>12.0</v>
      </c>
      <c r="I104" s="186" t="s">
        <v>103</v>
      </c>
    </row>
    <row r="105" ht="26.25" customHeight="1">
      <c r="B105" s="143" t="s">
        <v>28</v>
      </c>
      <c r="C105" s="178">
        <v>46303.0</v>
      </c>
      <c r="D105" s="180" t="s">
        <v>40</v>
      </c>
      <c r="E105" s="180" t="s">
        <v>37</v>
      </c>
      <c r="F105" s="183">
        <v>4.0</v>
      </c>
      <c r="G105" s="184">
        <v>10.0</v>
      </c>
      <c r="H105" s="185">
        <v>12.0</v>
      </c>
      <c r="I105" s="186" t="s">
        <v>103</v>
      </c>
    </row>
    <row r="106" ht="26.25" customHeight="1">
      <c r="B106" s="143" t="s">
        <v>25</v>
      </c>
      <c r="C106" s="178">
        <v>46303.0</v>
      </c>
      <c r="D106" s="180" t="s">
        <v>40</v>
      </c>
      <c r="E106" s="180" t="s">
        <v>37</v>
      </c>
      <c r="F106" s="183">
        <v>1.0</v>
      </c>
      <c r="G106" s="184">
        <v>5.0</v>
      </c>
      <c r="H106" s="185">
        <v>12.0</v>
      </c>
      <c r="I106" s="186" t="s">
        <v>112</v>
      </c>
    </row>
    <row r="107" ht="26.25" customHeight="1">
      <c r="B107" s="143" t="s">
        <v>25</v>
      </c>
      <c r="C107" s="178">
        <v>46303.0</v>
      </c>
      <c r="D107" s="180" t="s">
        <v>40</v>
      </c>
      <c r="E107" s="180" t="s">
        <v>37</v>
      </c>
      <c r="F107" s="183">
        <v>2.0</v>
      </c>
      <c r="G107" s="184">
        <v>5.0</v>
      </c>
      <c r="H107" s="185">
        <v>12.0</v>
      </c>
      <c r="I107" s="186" t="s">
        <v>112</v>
      </c>
    </row>
    <row r="108" ht="26.25" customHeight="1">
      <c r="B108" s="143" t="s">
        <v>25</v>
      </c>
      <c r="C108" s="178">
        <v>46303.0</v>
      </c>
      <c r="D108" s="180" t="s">
        <v>40</v>
      </c>
      <c r="E108" s="180" t="s">
        <v>37</v>
      </c>
      <c r="F108" s="183">
        <v>3.0</v>
      </c>
      <c r="G108" s="184">
        <v>5.0</v>
      </c>
      <c r="H108" s="185">
        <v>12.0</v>
      </c>
      <c r="I108" s="186" t="s">
        <v>112</v>
      </c>
    </row>
    <row r="109" ht="26.25" customHeight="1">
      <c r="B109" s="143" t="s">
        <v>25</v>
      </c>
      <c r="C109" s="178">
        <v>46303.0</v>
      </c>
      <c r="D109" s="180" t="s">
        <v>40</v>
      </c>
      <c r="E109" s="180" t="s">
        <v>37</v>
      </c>
      <c r="F109" s="183">
        <v>4.0</v>
      </c>
      <c r="G109" s="184">
        <v>5.0</v>
      </c>
      <c r="H109" s="185">
        <v>12.0</v>
      </c>
      <c r="I109" s="186" t="s">
        <v>112</v>
      </c>
    </row>
    <row r="110" ht="26.25" customHeight="1">
      <c r="B110" s="143" t="s">
        <v>28</v>
      </c>
      <c r="C110" s="178">
        <v>46303.0</v>
      </c>
      <c r="D110" s="180" t="s">
        <v>40</v>
      </c>
      <c r="E110" s="180" t="s">
        <v>49</v>
      </c>
      <c r="F110" s="183">
        <v>1.0</v>
      </c>
      <c r="G110" s="184">
        <v>15.0</v>
      </c>
      <c r="H110" s="185">
        <v>15.0</v>
      </c>
      <c r="I110" s="186" t="s">
        <v>265</v>
      </c>
    </row>
    <row r="111" ht="26.25" customHeight="1">
      <c r="B111" s="143" t="s">
        <v>28</v>
      </c>
      <c r="C111" s="178">
        <v>46303.0</v>
      </c>
      <c r="D111" s="180" t="s">
        <v>40</v>
      </c>
      <c r="E111" s="180" t="s">
        <v>49</v>
      </c>
      <c r="F111" s="183">
        <v>2.0</v>
      </c>
      <c r="G111" s="184">
        <v>20.0</v>
      </c>
      <c r="H111" s="185">
        <v>15.0</v>
      </c>
      <c r="I111" s="186" t="s">
        <v>82</v>
      </c>
    </row>
    <row r="112" ht="26.25" customHeight="1">
      <c r="B112" s="143" t="s">
        <v>28</v>
      </c>
      <c r="C112" s="178">
        <v>46303.0</v>
      </c>
      <c r="D112" s="180" t="s">
        <v>40</v>
      </c>
      <c r="E112" s="180" t="s">
        <v>49</v>
      </c>
      <c r="F112" s="183">
        <v>3.0</v>
      </c>
      <c r="G112" s="184">
        <v>20.0</v>
      </c>
      <c r="H112" s="185">
        <v>12.0</v>
      </c>
      <c r="I112" s="186" t="s">
        <v>125</v>
      </c>
    </row>
    <row r="113" ht="26.25" customHeight="1">
      <c r="B113" s="143" t="s">
        <v>25</v>
      </c>
      <c r="C113" s="178">
        <v>46303.0</v>
      </c>
      <c r="D113" s="180" t="s">
        <v>40</v>
      </c>
      <c r="E113" s="180" t="s">
        <v>49</v>
      </c>
      <c r="F113" s="183">
        <v>1.0</v>
      </c>
      <c r="G113" s="184">
        <v>5.0</v>
      </c>
      <c r="H113" s="185">
        <v>15.0</v>
      </c>
      <c r="I113" s="186" t="s">
        <v>270</v>
      </c>
    </row>
    <row r="114" ht="26.25" customHeight="1">
      <c r="B114" s="143" t="s">
        <v>25</v>
      </c>
      <c r="C114" s="178">
        <v>46303.0</v>
      </c>
      <c r="D114" s="180" t="s">
        <v>40</v>
      </c>
      <c r="E114" s="180" t="s">
        <v>49</v>
      </c>
      <c r="F114" s="183">
        <v>2.0</v>
      </c>
      <c r="G114" s="184">
        <v>10.0</v>
      </c>
      <c r="H114" s="185">
        <v>15.0</v>
      </c>
      <c r="I114" s="186" t="s">
        <v>107</v>
      </c>
    </row>
    <row r="115" ht="26.25" customHeight="1">
      <c r="B115" s="143" t="s">
        <v>25</v>
      </c>
      <c r="C115" s="178">
        <v>46303.0</v>
      </c>
      <c r="D115" s="180" t="s">
        <v>40</v>
      </c>
      <c r="E115" s="180" t="s">
        <v>49</v>
      </c>
      <c r="F115" s="183">
        <v>3.0</v>
      </c>
      <c r="G115" s="184">
        <v>10.0</v>
      </c>
      <c r="H115" s="185">
        <v>15.0</v>
      </c>
      <c r="I115" s="186" t="s">
        <v>107</v>
      </c>
    </row>
    <row r="116" ht="26.25" customHeight="1">
      <c r="B116" s="143" t="s">
        <v>28</v>
      </c>
      <c r="C116" s="178">
        <v>46303.0</v>
      </c>
      <c r="D116" s="180" t="s">
        <v>40</v>
      </c>
      <c r="E116" s="180" t="s">
        <v>59</v>
      </c>
      <c r="F116" s="183">
        <v>1.0</v>
      </c>
      <c r="G116" s="184">
        <v>25.0</v>
      </c>
      <c r="H116" s="185">
        <v>15.0</v>
      </c>
      <c r="I116" s="186" t="s">
        <v>102</v>
      </c>
    </row>
    <row r="117" ht="26.25" customHeight="1">
      <c r="B117" s="143" t="s">
        <v>28</v>
      </c>
      <c r="C117" s="178">
        <v>46303.0</v>
      </c>
      <c r="D117" s="180" t="s">
        <v>40</v>
      </c>
      <c r="E117" s="180" t="s">
        <v>59</v>
      </c>
      <c r="F117" s="183">
        <v>2.0</v>
      </c>
      <c r="G117" s="184">
        <v>25.0</v>
      </c>
      <c r="H117" s="185">
        <v>15.0</v>
      </c>
      <c r="I117" s="186" t="s">
        <v>102</v>
      </c>
    </row>
    <row r="118" ht="26.25" customHeight="1">
      <c r="B118" s="143" t="s">
        <v>28</v>
      </c>
      <c r="C118" s="178">
        <v>46303.0</v>
      </c>
      <c r="D118" s="180" t="s">
        <v>40</v>
      </c>
      <c r="E118" s="180" t="s">
        <v>59</v>
      </c>
      <c r="F118" s="183">
        <v>3.0</v>
      </c>
      <c r="G118" s="184">
        <v>25.0</v>
      </c>
      <c r="H118" s="185">
        <v>15.0</v>
      </c>
      <c r="I118" s="186" t="s">
        <v>102</v>
      </c>
    </row>
  </sheetData>
  <mergeCells count="8">
    <mergeCell ref="B2:C2"/>
    <mergeCell ref="D2:E2"/>
    <mergeCell ref="F2:G2"/>
    <mergeCell ref="H2:I2"/>
    <mergeCell ref="B3:C3"/>
    <mergeCell ref="D3:E3"/>
    <mergeCell ref="F3:G3"/>
    <mergeCell ref="H3:I3"/>
  </mergeCells>
  <dataValidations>
    <dataValidation type="list" allowBlank="1" sqref="E6:E18 E31:E118">
      <formula1>"Bench Press,Incline Press Machine,Decline / Flat Bench,Wide Grip Lat Pulldown,Underhand Lat Pulldown,Seated Inverted Row / T-Bar,Dumbbell Shoulder Press,Lateral Raise,Face Pulls / Rear Delt Fly,Biceps Curl,Hammer Curl,Overhead Triceps Extension,Triceps Pu"&amp;"shdown,Regular / Goblet Squats,Leg Press Machine,Romanian Deadlift,Leg Curl Machine,Seated Calf Raises Machine,Crunches / Ab Machine,Cardio"</formula1>
    </dataValidation>
    <dataValidation type="list" allowBlank="1" sqref="D6:D18 D31:D118">
      <formula1>"Selasa • Full Body,Kamis • Push Day,Jumat • Pull Day,Sabtu • Leg Day"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7.0"/>
    <col customWidth="1" min="3" max="3" width="10.75"/>
    <col customWidth="1" min="4" max="5" width="13.25"/>
    <col customWidth="1" min="6" max="6" width="19.63"/>
    <col customWidth="1" min="7" max="7" width="7.38"/>
    <col customWidth="1" min="8" max="8" width="4.5"/>
    <col customWidth="1" min="9" max="9" width="25.75"/>
    <col customWidth="1" min="10" max="22" width="4.5"/>
  </cols>
  <sheetData>
    <row r="1">
      <c r="I1" s="2" t="s">
        <v>0</v>
      </c>
    </row>
    <row r="2" ht="24.0" customHeight="1">
      <c r="B2" s="4" t="s">
        <v>3</v>
      </c>
      <c r="C2" s="7"/>
      <c r="D2" s="7"/>
      <c r="E2" s="7"/>
      <c r="F2" s="7"/>
      <c r="G2" s="10"/>
      <c r="H2" s="11"/>
      <c r="I2" s="17" t="str">
        <f t="array" ref="I2:I9">INDIRECT(SWITCH(C6, "Tuesday • Full Body", "'Workout Routine'!$D$6:$D$15", "Thursday • Push Day", "'Workout Routine'!$D$17:$D$24", "Friday • Pull Day", "'Workout Routine'!$D$26:$D$33", "Saturday • Leg Day", "'Workout Routine'!$D$35:$D$41", "'Workout Routine'!$D$6:$D$41"))</f>
        <v>Warm-up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ht="16.5" customHeight="1">
      <c r="B3" s="30" t="s">
        <v>15</v>
      </c>
      <c r="F3" s="33" t="str">
        <f>TEXT(TODAY(), "yyyy-mm-dd")</f>
        <v>2026-10-16</v>
      </c>
      <c r="G3" s="35"/>
      <c r="H3" s="36"/>
      <c r="I3" s="34" t="s">
        <v>18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ht="25.5" customHeight="1">
      <c r="B4" s="39" t="s">
        <v>19</v>
      </c>
      <c r="C4" s="45" t="s">
        <v>28</v>
      </c>
      <c r="D4" s="46"/>
      <c r="E4" s="48" t="s">
        <v>29</v>
      </c>
      <c r="F4" s="51" t="s">
        <v>31</v>
      </c>
      <c r="G4" s="53"/>
      <c r="H4" s="54"/>
      <c r="I4" s="55" t="s">
        <v>32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ht="25.5" customHeight="1">
      <c r="B5" s="59" t="s">
        <v>34</v>
      </c>
      <c r="C5" s="64">
        <v>46303.0</v>
      </c>
      <c r="D5" s="67"/>
      <c r="E5" s="68" t="s">
        <v>36</v>
      </c>
      <c r="F5" s="72" t="str">
        <f>IFERROR(VLOOKUP(C7, 'Workout Routine'!$D$6:$F$40, 3, FALSE), "-")</f>
        <v>3 x 15</v>
      </c>
      <c r="G5" s="75"/>
      <c r="H5" s="78"/>
      <c r="I5" s="80" t="s">
        <v>37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ht="25.5" customHeight="1">
      <c r="B6" s="59" t="s">
        <v>39</v>
      </c>
      <c r="C6" s="86" t="s">
        <v>40</v>
      </c>
      <c r="D6" s="67"/>
      <c r="E6" s="68" t="s">
        <v>42</v>
      </c>
      <c r="F6" s="72" t="str">
        <f>IFERROR(VLOOKUP(C7, 'Workout Routine'!$D$6:$E$40, 2, FALSE), "-")</f>
        <v>Triceps Lateral Head</v>
      </c>
      <c r="G6" s="75"/>
      <c r="H6" s="90"/>
      <c r="I6" s="93" t="s">
        <v>49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25.5" customHeight="1">
      <c r="B7" s="59" t="s">
        <v>53</v>
      </c>
      <c r="C7" s="86" t="s">
        <v>59</v>
      </c>
      <c r="D7" s="67"/>
      <c r="E7" s="68" t="s">
        <v>60</v>
      </c>
      <c r="F7" s="72" t="str">
        <f>IFERROR(VLOOKUP(C7, 'Workout Routine'!$D$6:$G$40, 4, FALSE), "-")</f>
        <v/>
      </c>
      <c r="G7" s="75"/>
      <c r="H7" s="100"/>
      <c r="I7" s="102" t="s">
        <v>59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B8" s="108" t="s">
        <v>64</v>
      </c>
      <c r="C8" s="109" t="s">
        <v>67</v>
      </c>
      <c r="D8" s="111"/>
      <c r="E8" s="114" t="s">
        <v>66</v>
      </c>
      <c r="F8" s="118">
        <f>SUM(F12:F16)</f>
        <v>0</v>
      </c>
      <c r="G8" s="121"/>
      <c r="H8" s="122"/>
      <c r="I8" s="124" t="s">
        <v>70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H9" s="28"/>
      <c r="I9" s="120" t="s">
        <v>72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ht="21.0" customHeight="1">
      <c r="B10" s="134" t="s">
        <v>74</v>
      </c>
      <c r="C10" s="135"/>
      <c r="D10" s="135"/>
      <c r="E10" s="135"/>
      <c r="F10" s="135"/>
      <c r="G10" s="138"/>
      <c r="H10" s="139"/>
      <c r="I10" s="139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ht="21.0" customHeight="1">
      <c r="B11" s="162" t="s">
        <v>23</v>
      </c>
      <c r="C11" s="164" t="s">
        <v>56</v>
      </c>
      <c r="D11" s="164" t="s">
        <v>76</v>
      </c>
      <c r="E11" s="164" t="s">
        <v>26</v>
      </c>
      <c r="F11" s="164" t="s">
        <v>77</v>
      </c>
      <c r="G11" s="167" t="s">
        <v>79</v>
      </c>
      <c r="H11" s="142"/>
      <c r="I11" s="142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ht="27.0" customHeight="1">
      <c r="B12" s="172" t="s">
        <v>81</v>
      </c>
      <c r="C12" s="174" t="b">
        <v>0</v>
      </c>
      <c r="D12" s="175"/>
      <c r="E12" s="176"/>
      <c r="F12" s="181">
        <f t="shared" ref="F12:F16" si="1">IF(OR(ISBLANK(D12), ISBLANK(E12), D12="", E12=""), 0, D12*E12)</f>
        <v>0</v>
      </c>
      <c r="G12" s="189" t="str">
        <f t="shared" ref="G12:G16" si="2">IF(AND(ISNUMBER(D12), ISNUMBER(E12), D12&gt;0, E12&gt;0), ROUND(D12*(1 + E12/30), 1), "")</f>
        <v/>
      </c>
      <c r="H12" s="190"/>
      <c r="I12" s="191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ht="27.0" customHeight="1">
      <c r="B13" s="172" t="s">
        <v>87</v>
      </c>
      <c r="C13" s="195" t="b">
        <v>0</v>
      </c>
      <c r="D13" s="197"/>
      <c r="E13" s="199"/>
      <c r="F13" s="181">
        <f t="shared" si="1"/>
        <v>0</v>
      </c>
      <c r="G13" s="189" t="str">
        <f t="shared" si="2"/>
        <v/>
      </c>
      <c r="H13" s="190"/>
      <c r="I13" s="191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ht="27.0" customHeight="1">
      <c r="B14" s="172" t="s">
        <v>91</v>
      </c>
      <c r="C14" s="174" t="b">
        <v>0</v>
      </c>
      <c r="D14" s="175"/>
      <c r="E14" s="176"/>
      <c r="F14" s="181">
        <f t="shared" si="1"/>
        <v>0</v>
      </c>
      <c r="G14" s="189" t="str">
        <f t="shared" si="2"/>
        <v/>
      </c>
      <c r="H14" s="190"/>
      <c r="I14" s="191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ht="27.0" customHeight="1">
      <c r="B15" s="172" t="s">
        <v>93</v>
      </c>
      <c r="C15" s="195" t="b">
        <v>0</v>
      </c>
      <c r="D15" s="197"/>
      <c r="E15" s="199"/>
      <c r="F15" s="181">
        <f t="shared" si="1"/>
        <v>0</v>
      </c>
      <c r="G15" s="189" t="str">
        <f t="shared" si="2"/>
        <v/>
      </c>
      <c r="H15" s="190"/>
      <c r="I15" s="191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ht="27.0" customHeight="1">
      <c r="B16" s="172" t="s">
        <v>95</v>
      </c>
      <c r="C16" s="174" t="b">
        <v>0</v>
      </c>
      <c r="D16" s="212"/>
      <c r="E16" s="213"/>
      <c r="F16" s="181">
        <f t="shared" si="1"/>
        <v>0</v>
      </c>
      <c r="G16" s="189" t="str">
        <f t="shared" si="2"/>
        <v/>
      </c>
      <c r="H16" s="190"/>
      <c r="I16" s="191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ht="24.0" customHeight="1">
      <c r="B17" s="215" t="s">
        <v>97</v>
      </c>
      <c r="C17" s="218" t="str">
        <f>COUNTIF(C12:C16, TRUE) &amp; " Sets"</f>
        <v>0 Sets</v>
      </c>
      <c r="D17" s="220" t="s">
        <v>99</v>
      </c>
      <c r="E17" s="221">
        <f>IFERROR(AVERAGEIF(D12:D16, "&gt;0"), 0)</f>
        <v>0</v>
      </c>
      <c r="F17" s="223">
        <f>SUM(F12:F16)</f>
        <v>0</v>
      </c>
      <c r="G17" s="225">
        <f>IF(COUNT(G12:G16)&gt;0, MAX(G12:G16), 0)</f>
        <v>0</v>
      </c>
      <c r="H17" s="226"/>
      <c r="I17" s="227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ht="28.5" customHeight="1">
      <c r="B18" s="229" t="s">
        <v>105</v>
      </c>
      <c r="C18" s="135"/>
      <c r="D18" s="230"/>
      <c r="E18" s="232" t="b">
        <v>0</v>
      </c>
      <c r="F18" s="234" t="str">
        <f>IF(E18=TRUE, "✅ LOG SAVED &amp; ACTIVE", "⬜ CHECK TO SUBMIT")</f>
        <v>⬜ CHECK TO SUBMIT</v>
      </c>
      <c r="G18" s="138"/>
      <c r="H18" s="237"/>
      <c r="I18" s="23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ht="18.0" customHeight="1">
      <c r="B19" s="242" t="s">
        <v>111</v>
      </c>
      <c r="C19" s="243"/>
      <c r="D19" s="244"/>
      <c r="E19" s="245" t="s">
        <v>114</v>
      </c>
      <c r="F19" s="243"/>
      <c r="G19" s="246"/>
      <c r="H19" s="247"/>
      <c r="I19" s="25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ht="10.5" customHeight="1"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21.0" customHeight="1">
      <c r="B21" s="134" t="s">
        <v>139</v>
      </c>
      <c r="C21" s="135"/>
      <c r="D21" s="135"/>
      <c r="E21" s="135"/>
      <c r="F21" s="135"/>
      <c r="G21" s="138"/>
      <c r="H21" s="255"/>
      <c r="I21" s="255"/>
      <c r="J21" s="255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ht="19.5" customHeight="1">
      <c r="B22" s="162" t="s">
        <v>23</v>
      </c>
      <c r="C22" s="258" t="s">
        <v>22</v>
      </c>
      <c r="D22" s="67"/>
      <c r="E22" s="164" t="s">
        <v>119</v>
      </c>
      <c r="F22" s="164" t="s">
        <v>26</v>
      </c>
      <c r="G22" s="167" t="s">
        <v>120</v>
      </c>
      <c r="H22" s="260"/>
      <c r="I22" s="142"/>
      <c r="J22" s="263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ht="21.0" customHeight="1">
      <c r="B23" s="268" t="str">
        <f>IF(C12=TRUE, "Set 1", "-")</f>
        <v>-</v>
      </c>
      <c r="C23" s="269" t="str">
        <f t="shared" ref="C23:C27" si="3">IF(C12=TRUE, $C$7, "-")</f>
        <v>-</v>
      </c>
      <c r="D23" s="67"/>
      <c r="E23" s="272" t="str">
        <f t="shared" ref="E23:E27" si="4">IF(C12=TRUE, TEXT(D12, "0.0") &amp; " kg", "-")</f>
        <v>-</v>
      </c>
      <c r="F23" s="272" t="str">
        <f t="shared" ref="F23:F27" si="5">IF(C12=TRUE, E12, "-")</f>
        <v>-</v>
      </c>
      <c r="G23" s="278" t="str">
        <f t="shared" ref="G23:G27" si="6">IF(C12=TRUE, TEXT(F12, "#,##0") &amp; " kg", "-")</f>
        <v>-</v>
      </c>
      <c r="H23" s="280"/>
      <c r="I23" s="282"/>
      <c r="J23" s="282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21.0" customHeight="1">
      <c r="B24" s="268" t="str">
        <f>IF(C13=TRUE, "Set 2", "-")</f>
        <v>-</v>
      </c>
      <c r="C24" s="269" t="str">
        <f t="shared" si="3"/>
        <v>-</v>
      </c>
      <c r="D24" s="67"/>
      <c r="E24" s="272" t="str">
        <f t="shared" si="4"/>
        <v>-</v>
      </c>
      <c r="F24" s="272" t="str">
        <f t="shared" si="5"/>
        <v>-</v>
      </c>
      <c r="G24" s="278" t="str">
        <f t="shared" si="6"/>
        <v>-</v>
      </c>
      <c r="H24" s="280"/>
      <c r="I24" s="282"/>
      <c r="J24" s="282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ht="21.0" customHeight="1">
      <c r="B25" s="268" t="str">
        <f>IF(C14=TRUE, "Set 3", "-")</f>
        <v>-</v>
      </c>
      <c r="C25" s="269" t="str">
        <f t="shared" si="3"/>
        <v>-</v>
      </c>
      <c r="D25" s="67"/>
      <c r="E25" s="272" t="str">
        <f t="shared" si="4"/>
        <v>-</v>
      </c>
      <c r="F25" s="272" t="str">
        <f t="shared" si="5"/>
        <v>-</v>
      </c>
      <c r="G25" s="278" t="str">
        <f t="shared" si="6"/>
        <v>-</v>
      </c>
      <c r="H25" s="280"/>
      <c r="I25" s="282"/>
      <c r="J25" s="282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ht="21.0" customHeight="1">
      <c r="B26" s="268" t="str">
        <f>IF(C15=TRUE, "Set 4", "-")</f>
        <v>-</v>
      </c>
      <c r="C26" s="269" t="str">
        <f t="shared" si="3"/>
        <v>-</v>
      </c>
      <c r="D26" s="67"/>
      <c r="E26" s="272" t="str">
        <f t="shared" si="4"/>
        <v>-</v>
      </c>
      <c r="F26" s="272" t="str">
        <f t="shared" si="5"/>
        <v>-</v>
      </c>
      <c r="G26" s="278" t="str">
        <f t="shared" si="6"/>
        <v>-</v>
      </c>
      <c r="H26" s="280"/>
      <c r="I26" s="282"/>
      <c r="J26" s="282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21.0" customHeight="1">
      <c r="B27" s="298" t="str">
        <f>IF(C16=TRUE, "Set 5", "-")</f>
        <v>-</v>
      </c>
      <c r="C27" s="299" t="str">
        <f t="shared" si="3"/>
        <v>-</v>
      </c>
      <c r="D27" s="244"/>
      <c r="E27" s="300" t="str">
        <f t="shared" si="4"/>
        <v>-</v>
      </c>
      <c r="F27" s="300" t="str">
        <f t="shared" si="5"/>
        <v>-</v>
      </c>
      <c r="G27" s="301" t="str">
        <f t="shared" si="6"/>
        <v>-</v>
      </c>
      <c r="H27" s="280"/>
      <c r="I27" s="282"/>
      <c r="J27" s="282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</sheetData>
  <mergeCells count="25">
    <mergeCell ref="F5:G5"/>
    <mergeCell ref="F6:G6"/>
    <mergeCell ref="B2:G2"/>
    <mergeCell ref="B3:E3"/>
    <mergeCell ref="F3:G3"/>
    <mergeCell ref="C4:D4"/>
    <mergeCell ref="F4:G4"/>
    <mergeCell ref="C5:D5"/>
    <mergeCell ref="C6:D6"/>
    <mergeCell ref="C7:D7"/>
    <mergeCell ref="F7:G7"/>
    <mergeCell ref="C8:D8"/>
    <mergeCell ref="F8:G8"/>
    <mergeCell ref="B10:G10"/>
    <mergeCell ref="B18:D18"/>
    <mergeCell ref="F18:G18"/>
    <mergeCell ref="C26:D26"/>
    <mergeCell ref="C27:D27"/>
    <mergeCell ref="B19:D19"/>
    <mergeCell ref="E19:G19"/>
    <mergeCell ref="B21:G21"/>
    <mergeCell ref="C22:D22"/>
    <mergeCell ref="C23:D23"/>
    <mergeCell ref="C24:D24"/>
    <mergeCell ref="C25:D25"/>
  </mergeCells>
  <dataValidations>
    <dataValidation type="list" allowBlank="1" sqref="C7">
      <formula1>'Hans Workout Form'!$I$2:$I$15</formula1>
    </dataValidation>
    <dataValidation type="list" allowBlank="1" sqref="C6">
      <formula1>"Tuesday • Full Body,Thursday • Push Day,Friday • Pull Day,Saturday • Leg Day"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7.0"/>
    <col customWidth="1" min="3" max="3" width="10.75"/>
    <col customWidth="1" min="4" max="5" width="13.25"/>
    <col customWidth="1" min="6" max="7" width="15.13"/>
    <col customWidth="1" min="8" max="15" width="4.5"/>
  </cols>
  <sheetData>
    <row r="1" ht="10.5" customHeight="1">
      <c r="H1" s="3"/>
      <c r="I1" s="6" t="s">
        <v>0</v>
      </c>
    </row>
    <row r="2" ht="24.0" customHeight="1">
      <c r="B2" s="14" t="s">
        <v>6</v>
      </c>
      <c r="C2" s="15"/>
      <c r="D2" s="15"/>
      <c r="E2" s="15"/>
      <c r="F2" s="15"/>
      <c r="G2" s="16"/>
      <c r="H2" s="17"/>
      <c r="I2" s="17" t="str">
        <f t="array" ref="I2:I9">INDIRECT(SWITCH(C6, "Tuesday • Full Body", "'Workout Routine'!$D$6:$D$15", "Thursday • Push Day", "'Workout Routine'!$D$17:$D$24", "Friday • Pull Day", "'Workout Routine'!$D$26:$D$33", "Saturday • Leg Day", "'Workout Routine'!$D$35:$D$41", "'Workout Routine'!$D$6:$D$41"))</f>
        <v>Warm-up</v>
      </c>
      <c r="J2" s="28"/>
      <c r="K2" s="28"/>
      <c r="L2" s="28"/>
      <c r="M2" s="28"/>
      <c r="N2" s="28"/>
      <c r="O2" s="28"/>
    </row>
    <row r="3" ht="16.5" customHeight="1">
      <c r="B3" s="29" t="s">
        <v>16</v>
      </c>
      <c r="F3" s="31" t="str">
        <f>TEXT(TODAY(), "yyyy-mm-dd")</f>
        <v>2026-10-16</v>
      </c>
      <c r="G3" s="32"/>
      <c r="H3" s="34"/>
      <c r="I3" s="34" t="s">
        <v>18</v>
      </c>
      <c r="J3" s="28"/>
      <c r="K3" s="28"/>
      <c r="L3" s="28"/>
      <c r="M3" s="28"/>
      <c r="N3" s="28"/>
      <c r="O3" s="28"/>
    </row>
    <row r="4" ht="25.5" customHeight="1">
      <c r="B4" s="38" t="s">
        <v>19</v>
      </c>
      <c r="C4" s="40" t="s">
        <v>25</v>
      </c>
      <c r="D4" s="42"/>
      <c r="E4" s="44" t="s">
        <v>29</v>
      </c>
      <c r="F4" s="47" t="s">
        <v>30</v>
      </c>
      <c r="G4" s="49"/>
      <c r="H4" s="50"/>
      <c r="I4" s="52" t="s">
        <v>32</v>
      </c>
      <c r="J4" s="28"/>
      <c r="K4" s="28"/>
      <c r="L4" s="28"/>
      <c r="M4" s="28"/>
      <c r="N4" s="28"/>
      <c r="O4" s="28"/>
    </row>
    <row r="5" ht="25.5" customHeight="1">
      <c r="B5" s="58" t="s">
        <v>34</v>
      </c>
      <c r="C5" s="61">
        <v>46303.0</v>
      </c>
      <c r="D5" s="62"/>
      <c r="E5" s="65" t="s">
        <v>36</v>
      </c>
      <c r="F5" s="71" t="str">
        <f>IFERROR(VLOOKUP(C7, 'Workout Routine'!$D$6:$F$40, 3, FALSE), "-")</f>
        <v>3 x 15</v>
      </c>
      <c r="G5" s="73"/>
      <c r="H5" s="77"/>
      <c r="I5" s="79" t="s">
        <v>37</v>
      </c>
      <c r="J5" s="28"/>
      <c r="K5" s="28"/>
      <c r="L5" s="28"/>
      <c r="M5" s="28"/>
      <c r="N5" s="28"/>
      <c r="O5" s="28"/>
    </row>
    <row r="6" ht="25.5" customHeight="1">
      <c r="B6" s="58" t="s">
        <v>39</v>
      </c>
      <c r="C6" s="85" t="s">
        <v>40</v>
      </c>
      <c r="D6" s="62"/>
      <c r="E6" s="65" t="s">
        <v>42</v>
      </c>
      <c r="F6" s="71" t="str">
        <f>IFERROR(VLOOKUP(C7, 'Workout Routine'!$D$6:$E$40, 2, FALSE), "-")</f>
        <v>Triceps Lateral Head</v>
      </c>
      <c r="G6" s="73"/>
      <c r="H6" s="89"/>
      <c r="I6" s="92" t="s">
        <v>49</v>
      </c>
      <c r="J6" s="28"/>
      <c r="K6" s="28"/>
      <c r="L6" s="28"/>
      <c r="M6" s="28"/>
      <c r="N6" s="28"/>
      <c r="O6" s="28"/>
    </row>
    <row r="7" ht="25.5" customHeight="1">
      <c r="B7" s="58" t="s">
        <v>53</v>
      </c>
      <c r="C7" s="85" t="s">
        <v>59</v>
      </c>
      <c r="D7" s="62"/>
      <c r="E7" s="65" t="s">
        <v>60</v>
      </c>
      <c r="F7" s="71" t="str">
        <f>IFERROR(VLOOKUP(C7, 'Workout Routine'!$D$6:$G$40, 4, FALSE), "-")</f>
        <v/>
      </c>
      <c r="G7" s="73"/>
      <c r="H7" s="89"/>
      <c r="I7" s="92" t="s">
        <v>59</v>
      </c>
      <c r="J7" s="28"/>
      <c r="K7" s="28"/>
      <c r="L7" s="28"/>
      <c r="M7" s="28"/>
      <c r="N7" s="28"/>
      <c r="O7" s="28"/>
    </row>
    <row r="8" ht="25.5" customHeight="1">
      <c r="B8" s="103" t="s">
        <v>64</v>
      </c>
      <c r="C8" s="105" t="s">
        <v>65</v>
      </c>
      <c r="D8" s="106"/>
      <c r="E8" s="107" t="s">
        <v>66</v>
      </c>
      <c r="F8" s="115">
        <f>SUM(F12:F16)</f>
        <v>675</v>
      </c>
      <c r="G8" s="116"/>
      <c r="H8" s="89"/>
      <c r="I8" s="92" t="s">
        <v>70</v>
      </c>
      <c r="J8" s="28"/>
      <c r="K8" s="28"/>
      <c r="L8" s="28"/>
      <c r="M8" s="28"/>
      <c r="N8" s="28"/>
      <c r="O8" s="28"/>
    </row>
    <row r="9" ht="10.5" customHeight="1">
      <c r="H9" s="120"/>
      <c r="I9" s="120" t="s">
        <v>72</v>
      </c>
      <c r="J9" s="28"/>
      <c r="K9" s="28"/>
      <c r="L9" s="28"/>
      <c r="M9" s="28"/>
      <c r="N9" s="28"/>
      <c r="O9" s="28"/>
    </row>
    <row r="10" ht="21.0" customHeight="1">
      <c r="B10" s="127" t="s">
        <v>73</v>
      </c>
      <c r="C10" s="128"/>
      <c r="D10" s="128"/>
      <c r="E10" s="128"/>
      <c r="F10" s="128"/>
      <c r="G10" s="129"/>
      <c r="H10" s="130"/>
      <c r="I10" s="130"/>
      <c r="J10" s="28"/>
      <c r="K10" s="28"/>
      <c r="L10" s="28"/>
      <c r="M10" s="28"/>
      <c r="N10" s="28"/>
      <c r="O10" s="28"/>
    </row>
    <row r="11" ht="21.0" customHeight="1">
      <c r="B11" s="133" t="s">
        <v>23</v>
      </c>
      <c r="C11" s="136" t="s">
        <v>56</v>
      </c>
      <c r="D11" s="136" t="s">
        <v>76</v>
      </c>
      <c r="E11" s="136" t="s">
        <v>26</v>
      </c>
      <c r="F11" s="136" t="s">
        <v>77</v>
      </c>
      <c r="G11" s="141" t="s">
        <v>79</v>
      </c>
      <c r="H11" s="142"/>
      <c r="I11" s="142"/>
      <c r="J11" s="28"/>
      <c r="K11" s="28"/>
      <c r="L11" s="28"/>
      <c r="M11" s="28"/>
      <c r="N11" s="28"/>
      <c r="O11" s="28"/>
    </row>
    <row r="12" ht="27.0" customHeight="1">
      <c r="B12" s="144" t="s">
        <v>81</v>
      </c>
      <c r="C12" s="146" t="b">
        <v>1</v>
      </c>
      <c r="D12" s="147">
        <v>15.0</v>
      </c>
      <c r="E12" s="148">
        <v>15.0</v>
      </c>
      <c r="F12" s="155">
        <f t="shared" ref="F12:F16" si="1">IF(OR(ISBLANK(D12), ISBLANK(E12), D12="", E12=""), 0, D12*E12)</f>
        <v>225</v>
      </c>
      <c r="G12" s="160">
        <f t="shared" ref="G12:G16" si="2">IF(AND(ISNUMBER(D12), ISNUMBER(E12), D12&gt;0, E12&gt;0), ROUND(D12*(1 + E12/30), 1), "")</f>
        <v>22.5</v>
      </c>
      <c r="H12" s="161"/>
      <c r="I12" s="163"/>
      <c r="J12" s="28"/>
      <c r="K12" s="28"/>
      <c r="L12" s="28"/>
      <c r="M12" s="28"/>
      <c r="N12" s="28"/>
      <c r="O12" s="28"/>
    </row>
    <row r="13" ht="27.0" customHeight="1">
      <c r="B13" s="144" t="s">
        <v>87</v>
      </c>
      <c r="C13" s="146" t="b">
        <v>1</v>
      </c>
      <c r="D13" s="147">
        <v>15.0</v>
      </c>
      <c r="E13" s="148">
        <v>15.0</v>
      </c>
      <c r="F13" s="155">
        <f t="shared" si="1"/>
        <v>225</v>
      </c>
      <c r="G13" s="160">
        <f t="shared" si="2"/>
        <v>22.5</v>
      </c>
      <c r="H13" s="161"/>
      <c r="I13" s="163"/>
      <c r="J13" s="28"/>
      <c r="K13" s="28"/>
      <c r="L13" s="28"/>
      <c r="M13" s="28"/>
      <c r="N13" s="28"/>
      <c r="O13" s="28"/>
    </row>
    <row r="14" ht="27.0" customHeight="1">
      <c r="B14" s="144" t="s">
        <v>91</v>
      </c>
      <c r="C14" s="146" t="b">
        <v>1</v>
      </c>
      <c r="D14" s="147">
        <v>15.0</v>
      </c>
      <c r="E14" s="148">
        <v>15.0</v>
      </c>
      <c r="F14" s="155">
        <f t="shared" si="1"/>
        <v>225</v>
      </c>
      <c r="G14" s="160">
        <f t="shared" si="2"/>
        <v>22.5</v>
      </c>
      <c r="H14" s="161"/>
      <c r="I14" s="163"/>
      <c r="J14" s="28"/>
      <c r="K14" s="28"/>
      <c r="L14" s="28"/>
      <c r="M14" s="28"/>
      <c r="N14" s="28"/>
      <c r="O14" s="28"/>
    </row>
    <row r="15" ht="27.0" customHeight="1">
      <c r="B15" s="144" t="s">
        <v>93</v>
      </c>
      <c r="C15" s="146" t="b">
        <v>0</v>
      </c>
      <c r="D15" s="147"/>
      <c r="E15" s="148"/>
      <c r="F15" s="155">
        <f t="shared" si="1"/>
        <v>0</v>
      </c>
      <c r="G15" s="160" t="str">
        <f t="shared" si="2"/>
        <v/>
      </c>
      <c r="H15" s="161"/>
      <c r="I15" s="163"/>
      <c r="J15" s="28"/>
      <c r="K15" s="28"/>
      <c r="L15" s="28"/>
      <c r="M15" s="28"/>
      <c r="N15" s="28"/>
      <c r="O15" s="28"/>
    </row>
    <row r="16" ht="27.0" customHeight="1">
      <c r="B16" s="144" t="s">
        <v>95</v>
      </c>
      <c r="C16" s="146" t="b">
        <v>0</v>
      </c>
      <c r="D16" s="177"/>
      <c r="E16" s="179"/>
      <c r="F16" s="155">
        <f t="shared" si="1"/>
        <v>0</v>
      </c>
      <c r="G16" s="160" t="str">
        <f t="shared" si="2"/>
        <v/>
      </c>
      <c r="H16" s="161"/>
      <c r="I16" s="163"/>
      <c r="J16" s="28"/>
      <c r="K16" s="28"/>
      <c r="L16" s="28"/>
      <c r="M16" s="28"/>
      <c r="N16" s="28"/>
      <c r="O16" s="28"/>
    </row>
    <row r="17" ht="24.0" customHeight="1">
      <c r="B17" s="182" t="s">
        <v>97</v>
      </c>
      <c r="C17" s="187" t="str">
        <f>COUNTIF(C12:C16, TRUE) &amp; " Sets"</f>
        <v>3 Sets</v>
      </c>
      <c r="D17" s="188" t="s">
        <v>99</v>
      </c>
      <c r="E17" s="187">
        <f>IFERROR(AVERAGEIF(D12:D16, "&gt;0"), 0)</f>
        <v>15</v>
      </c>
      <c r="F17" s="193">
        <f>SUM(F12:F16)</f>
        <v>675</v>
      </c>
      <c r="G17" s="194">
        <f>IF(COUNT(G12:G16)&gt;0, MAX(G12:G16), 0)</f>
        <v>22.5</v>
      </c>
      <c r="H17" s="196"/>
      <c r="I17" s="198"/>
      <c r="J17" s="28"/>
      <c r="K17" s="28"/>
      <c r="L17" s="28"/>
      <c r="M17" s="28"/>
      <c r="N17" s="28"/>
      <c r="O17" s="28"/>
    </row>
    <row r="18" ht="28.5" customHeight="1">
      <c r="B18" s="127" t="s">
        <v>105</v>
      </c>
      <c r="C18" s="128"/>
      <c r="D18" s="200"/>
      <c r="E18" s="201" t="b">
        <v>0</v>
      </c>
      <c r="F18" s="202" t="str">
        <f>IF(E18=TRUE, "✅ LOG SAVED &amp; ACTIVE", "⬜ CHECK TO SUBMIT")</f>
        <v>⬜ CHECK TO SUBMIT</v>
      </c>
      <c r="G18" s="129"/>
      <c r="H18" s="203"/>
      <c r="I18" s="204"/>
      <c r="J18" s="28"/>
      <c r="K18" s="28"/>
      <c r="L18" s="28"/>
      <c r="M18" s="28"/>
      <c r="N18" s="28"/>
      <c r="O18" s="28"/>
    </row>
    <row r="19" ht="18.0" customHeight="1">
      <c r="B19" s="205" t="s">
        <v>111</v>
      </c>
      <c r="C19" s="206"/>
      <c r="D19" s="207"/>
      <c r="E19" s="208" t="s">
        <v>114</v>
      </c>
      <c r="F19" s="206"/>
      <c r="G19" s="209"/>
      <c r="H19" s="210"/>
      <c r="I19" s="211"/>
      <c r="J19" s="28"/>
      <c r="K19" s="28"/>
      <c r="L19" s="28"/>
      <c r="M19" s="28"/>
      <c r="N19" s="28"/>
      <c r="O19" s="28"/>
    </row>
    <row r="20" ht="10.5" customHeight="1">
      <c r="H20" s="120"/>
      <c r="I20" s="120"/>
      <c r="J20" s="28"/>
      <c r="K20" s="28"/>
      <c r="L20" s="28"/>
      <c r="M20" s="28"/>
      <c r="N20" s="28"/>
      <c r="O20" s="28"/>
    </row>
    <row r="21" ht="21.0" customHeight="1">
      <c r="B21" s="214" t="s">
        <v>116</v>
      </c>
      <c r="C21" s="128"/>
      <c r="D21" s="128"/>
      <c r="E21" s="128"/>
      <c r="F21" s="128"/>
      <c r="G21" s="129"/>
      <c r="H21" s="139"/>
      <c r="I21" s="139"/>
      <c r="J21" s="139"/>
      <c r="K21" s="28"/>
      <c r="L21" s="28"/>
      <c r="M21" s="28"/>
      <c r="N21" s="28"/>
      <c r="O21" s="28"/>
    </row>
    <row r="22" ht="19.5" customHeight="1">
      <c r="B22" s="133" t="s">
        <v>23</v>
      </c>
      <c r="C22" s="216" t="s">
        <v>22</v>
      </c>
      <c r="D22" s="217"/>
      <c r="E22" s="136" t="s">
        <v>119</v>
      </c>
      <c r="F22" s="136" t="s">
        <v>26</v>
      </c>
      <c r="G22" s="141" t="s">
        <v>120</v>
      </c>
      <c r="H22" s="52"/>
      <c r="I22" s="219"/>
      <c r="J22" s="219"/>
      <c r="K22" s="28"/>
      <c r="L22" s="28"/>
      <c r="M22" s="28"/>
      <c r="N22" s="28"/>
      <c r="O22" s="28"/>
    </row>
    <row r="23" ht="21.0" customHeight="1">
      <c r="B23" s="222" t="str">
        <f>IF(C12=TRUE, "Set 1", "-")</f>
        <v>Set 1</v>
      </c>
      <c r="C23" s="224" t="str">
        <f t="shared" ref="C23:C27" si="3">IF(C12=TRUE, $C$7, "-")</f>
        <v>Triceps Pushdown</v>
      </c>
      <c r="D23" s="217"/>
      <c r="E23" s="228" t="str">
        <f t="shared" ref="E23:E27" si="4">IF(C12=TRUE, TEXT(D12, "0.0") &amp; " kg", "-")</f>
        <v>15.0 kg</v>
      </c>
      <c r="F23" s="231">
        <f t="shared" ref="F23:F27" si="5">IF(C12=TRUE, E12, "-")</f>
        <v>15</v>
      </c>
      <c r="G23" s="233" t="str">
        <f t="shared" ref="G23:G27" si="6">IF(C12=TRUE, TEXT(F12, "#,##0") &amp; " kg", "-")</f>
        <v>225 kg</v>
      </c>
      <c r="H23" s="235"/>
      <c r="I23" s="238"/>
      <c r="J23" s="240"/>
      <c r="K23" s="28"/>
      <c r="L23" s="28"/>
      <c r="M23" s="28"/>
      <c r="N23" s="28"/>
      <c r="O23" s="28"/>
    </row>
    <row r="24" ht="21.0" customHeight="1">
      <c r="B24" s="222" t="str">
        <f>IF(C13=TRUE, "Set 2", "-")</f>
        <v>Set 2</v>
      </c>
      <c r="C24" s="224" t="str">
        <f t="shared" si="3"/>
        <v>Triceps Pushdown</v>
      </c>
      <c r="D24" s="217"/>
      <c r="E24" s="228" t="str">
        <f t="shared" si="4"/>
        <v>15.0 kg</v>
      </c>
      <c r="F24" s="231">
        <f t="shared" si="5"/>
        <v>15</v>
      </c>
      <c r="G24" s="233" t="str">
        <f t="shared" si="6"/>
        <v>225 kg</v>
      </c>
      <c r="H24" s="235"/>
      <c r="I24" s="238"/>
      <c r="J24" s="240"/>
      <c r="K24" s="28"/>
      <c r="L24" s="28"/>
      <c r="M24" s="28"/>
      <c r="N24" s="28"/>
      <c r="O24" s="28"/>
    </row>
    <row r="25" ht="21.0" customHeight="1">
      <c r="B25" s="222" t="str">
        <f>IF(C14=TRUE, "Set 3", "-")</f>
        <v>Set 3</v>
      </c>
      <c r="C25" s="224" t="str">
        <f t="shared" si="3"/>
        <v>Triceps Pushdown</v>
      </c>
      <c r="D25" s="217"/>
      <c r="E25" s="228" t="str">
        <f t="shared" si="4"/>
        <v>15.0 kg</v>
      </c>
      <c r="F25" s="231">
        <f t="shared" si="5"/>
        <v>15</v>
      </c>
      <c r="G25" s="233" t="str">
        <f t="shared" si="6"/>
        <v>225 kg</v>
      </c>
      <c r="H25" s="235"/>
      <c r="I25" s="238"/>
      <c r="J25" s="240"/>
      <c r="K25" s="28"/>
      <c r="L25" s="28"/>
      <c r="M25" s="28"/>
      <c r="N25" s="28"/>
      <c r="O25" s="28"/>
    </row>
    <row r="26" ht="21.0" customHeight="1">
      <c r="B26" s="222" t="str">
        <f>IF(C15=TRUE, "Set 4", "-")</f>
        <v>-</v>
      </c>
      <c r="C26" s="224" t="str">
        <f t="shared" si="3"/>
        <v>-</v>
      </c>
      <c r="D26" s="217"/>
      <c r="E26" s="228" t="str">
        <f t="shared" si="4"/>
        <v>-</v>
      </c>
      <c r="F26" s="228" t="str">
        <f t="shared" si="5"/>
        <v>-</v>
      </c>
      <c r="G26" s="233" t="str">
        <f t="shared" si="6"/>
        <v>-</v>
      </c>
      <c r="H26" s="235"/>
      <c r="I26" s="238"/>
      <c r="J26" s="240"/>
      <c r="K26" s="28"/>
      <c r="L26" s="28"/>
      <c r="M26" s="28"/>
      <c r="N26" s="28"/>
      <c r="O26" s="28"/>
    </row>
    <row r="27" ht="21.0" customHeight="1">
      <c r="B27" s="252" t="str">
        <f>IF(C16=TRUE, "Set 5", "-")</f>
        <v>-</v>
      </c>
      <c r="C27" s="253" t="str">
        <f t="shared" si="3"/>
        <v>-</v>
      </c>
      <c r="D27" s="207"/>
      <c r="E27" s="254" t="str">
        <f t="shared" si="4"/>
        <v>-</v>
      </c>
      <c r="F27" s="254" t="str">
        <f t="shared" si="5"/>
        <v>-</v>
      </c>
      <c r="G27" s="256" t="str">
        <f t="shared" si="6"/>
        <v>-</v>
      </c>
      <c r="H27" s="235"/>
      <c r="I27" s="238"/>
      <c r="J27" s="240"/>
      <c r="K27" s="28"/>
      <c r="L27" s="28"/>
      <c r="M27" s="28"/>
      <c r="N27" s="28"/>
      <c r="O27" s="28"/>
    </row>
    <row r="28">
      <c r="H28" s="120"/>
      <c r="I28" s="120"/>
      <c r="J28" s="28"/>
      <c r="K28" s="28"/>
      <c r="L28" s="28"/>
      <c r="M28" s="28"/>
      <c r="N28" s="28"/>
      <c r="O28" s="28"/>
    </row>
    <row r="29">
      <c r="H29" s="3"/>
      <c r="I29" s="3"/>
    </row>
    <row r="30">
      <c r="H30" s="3"/>
      <c r="I30" s="3"/>
    </row>
    <row r="31">
      <c r="H31" s="3"/>
      <c r="I31" s="3"/>
    </row>
    <row r="32">
      <c r="H32" s="3"/>
      <c r="I32" s="3"/>
    </row>
    <row r="33">
      <c r="H33" s="3"/>
      <c r="I33" s="3"/>
    </row>
    <row r="34">
      <c r="H34" s="3"/>
      <c r="I34" s="3"/>
    </row>
    <row r="35">
      <c r="H35" s="3"/>
      <c r="I35" s="3"/>
    </row>
  </sheetData>
  <mergeCells count="25">
    <mergeCell ref="F5:G5"/>
    <mergeCell ref="F6:G6"/>
    <mergeCell ref="B2:G2"/>
    <mergeCell ref="B3:E3"/>
    <mergeCell ref="F3:G3"/>
    <mergeCell ref="C4:D4"/>
    <mergeCell ref="F4:G4"/>
    <mergeCell ref="C5:D5"/>
    <mergeCell ref="C6:D6"/>
    <mergeCell ref="C7:D7"/>
    <mergeCell ref="F7:G7"/>
    <mergeCell ref="C8:D8"/>
    <mergeCell ref="F8:G8"/>
    <mergeCell ref="B10:G10"/>
    <mergeCell ref="B18:D18"/>
    <mergeCell ref="F18:G18"/>
    <mergeCell ref="C26:D26"/>
    <mergeCell ref="C27:D27"/>
    <mergeCell ref="B19:D19"/>
    <mergeCell ref="E19:G19"/>
    <mergeCell ref="B21:G21"/>
    <mergeCell ref="C22:D22"/>
    <mergeCell ref="C23:D23"/>
    <mergeCell ref="C24:D24"/>
    <mergeCell ref="C25:D25"/>
  </mergeCells>
  <dataValidations>
    <dataValidation type="list" allowBlank="1" sqref="C7">
      <formula1>'Lil Babys Workout Form'!$I$2:$I$15</formula1>
    </dataValidation>
    <dataValidation type="list" allowBlank="1" sqref="C6">
      <formula1>"Tuesday • Full Body,Thursday • Push Day,Friday • Pull Day,Saturday • Leg Day"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26.0"/>
  </cols>
  <sheetData>
    <row r="1">
      <c r="A1" s="287" t="s">
        <v>151</v>
      </c>
      <c r="B1" s="287" t="s">
        <v>152</v>
      </c>
      <c r="C1" s="287" t="s">
        <v>153</v>
      </c>
    </row>
    <row r="2">
      <c r="A2" s="289" t="s">
        <v>154</v>
      </c>
      <c r="B2" s="289" t="s">
        <v>28</v>
      </c>
      <c r="C2" s="289" t="s">
        <v>31</v>
      </c>
    </row>
    <row r="3">
      <c r="A3" s="289" t="s">
        <v>155</v>
      </c>
      <c r="B3" s="289" t="s">
        <v>25</v>
      </c>
      <c r="C3" s="289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9.75"/>
    <col customWidth="1" min="3" max="3" width="24.5"/>
    <col customWidth="1" min="4" max="4" width="17.5"/>
    <col customWidth="1" min="5" max="5" width="10.0"/>
    <col customWidth="1" min="6" max="6" width="18.63"/>
    <col customWidth="1" min="7" max="7" width="5.63"/>
  </cols>
  <sheetData>
    <row r="1">
      <c r="A1" s="296" t="s">
        <v>156</v>
      </c>
      <c r="B1" s="296" t="s">
        <v>157</v>
      </c>
      <c r="C1" s="296" t="s">
        <v>158</v>
      </c>
      <c r="D1" s="296" t="s">
        <v>159</v>
      </c>
      <c r="E1" s="296" t="s">
        <v>160</v>
      </c>
      <c r="F1" s="296" t="s">
        <v>161</v>
      </c>
      <c r="G1" s="296" t="s">
        <v>56</v>
      </c>
    </row>
    <row r="2">
      <c r="A2" s="297" t="s">
        <v>162</v>
      </c>
      <c r="B2" s="297" t="s">
        <v>163</v>
      </c>
      <c r="C2" s="297" t="s">
        <v>75</v>
      </c>
      <c r="D2" s="297" t="s">
        <v>78</v>
      </c>
      <c r="E2" s="297" t="s">
        <v>80</v>
      </c>
      <c r="F2" s="297" t="s">
        <v>164</v>
      </c>
      <c r="G2" s="297" t="s">
        <v>84</v>
      </c>
    </row>
    <row r="3">
      <c r="A3" s="297" t="s">
        <v>166</v>
      </c>
      <c r="B3" s="297" t="s">
        <v>163</v>
      </c>
      <c r="C3" s="297" t="s">
        <v>35</v>
      </c>
      <c r="D3" s="297" t="s">
        <v>90</v>
      </c>
      <c r="E3" s="297" t="s">
        <v>167</v>
      </c>
      <c r="F3" s="297" t="s">
        <v>168</v>
      </c>
      <c r="G3" s="297" t="s">
        <v>84</v>
      </c>
    </row>
    <row r="4">
      <c r="A4" s="297" t="s">
        <v>170</v>
      </c>
      <c r="B4" s="297" t="s">
        <v>163</v>
      </c>
      <c r="C4" s="297" t="s">
        <v>43</v>
      </c>
      <c r="D4" s="297" t="s">
        <v>101</v>
      </c>
      <c r="E4" s="297" t="s">
        <v>167</v>
      </c>
      <c r="F4" s="297" t="s">
        <v>171</v>
      </c>
      <c r="G4" s="297" t="s">
        <v>84</v>
      </c>
    </row>
    <row r="5">
      <c r="A5" s="297" t="s">
        <v>172</v>
      </c>
      <c r="B5" s="297" t="s">
        <v>163</v>
      </c>
      <c r="C5" s="297" t="s">
        <v>58</v>
      </c>
      <c r="D5" s="297" t="s">
        <v>109</v>
      </c>
      <c r="E5" s="297" t="s">
        <v>167</v>
      </c>
      <c r="F5" s="297" t="s">
        <v>173</v>
      </c>
      <c r="G5" s="297" t="s">
        <v>84</v>
      </c>
    </row>
    <row r="6">
      <c r="A6" s="297" t="s">
        <v>174</v>
      </c>
      <c r="B6" s="297" t="s">
        <v>163</v>
      </c>
      <c r="C6" s="297" t="s">
        <v>62</v>
      </c>
      <c r="D6" s="297" t="s">
        <v>117</v>
      </c>
      <c r="E6" s="297" t="s">
        <v>175</v>
      </c>
      <c r="F6" s="297" t="s">
        <v>173</v>
      </c>
      <c r="G6" s="297" t="s">
        <v>84</v>
      </c>
    </row>
    <row r="7">
      <c r="A7" s="297" t="s">
        <v>176</v>
      </c>
      <c r="B7" s="297" t="s">
        <v>163</v>
      </c>
      <c r="C7" s="297" t="s">
        <v>122</v>
      </c>
      <c r="D7" s="297" t="s">
        <v>123</v>
      </c>
      <c r="E7" s="297" t="s">
        <v>167</v>
      </c>
      <c r="F7" s="297" t="s">
        <v>177</v>
      </c>
      <c r="G7" s="297" t="s">
        <v>84</v>
      </c>
    </row>
    <row r="8">
      <c r="A8" s="297" t="s">
        <v>178</v>
      </c>
      <c r="B8" s="297" t="s">
        <v>163</v>
      </c>
      <c r="C8" s="297" t="s">
        <v>179</v>
      </c>
      <c r="D8" s="297" t="s">
        <v>132</v>
      </c>
      <c r="E8" s="297" t="s">
        <v>167</v>
      </c>
      <c r="F8" s="297" t="s">
        <v>179</v>
      </c>
      <c r="G8" s="297" t="s">
        <v>84</v>
      </c>
    </row>
    <row r="9">
      <c r="A9" s="297" t="s">
        <v>180</v>
      </c>
      <c r="B9" s="297" t="s">
        <v>163</v>
      </c>
      <c r="C9" s="297" t="s">
        <v>135</v>
      </c>
      <c r="D9" s="297" t="s">
        <v>136</v>
      </c>
      <c r="E9" s="297" t="s">
        <v>118</v>
      </c>
      <c r="F9" s="297" t="s">
        <v>181</v>
      </c>
      <c r="G9" s="297" t="s">
        <v>84</v>
      </c>
    </row>
    <row r="10">
      <c r="A10" s="297" t="s">
        <v>182</v>
      </c>
      <c r="B10" s="297" t="s">
        <v>163</v>
      </c>
      <c r="C10" s="297" t="s">
        <v>142</v>
      </c>
      <c r="D10" s="297" t="s">
        <v>143</v>
      </c>
      <c r="E10" s="297" t="s">
        <v>144</v>
      </c>
      <c r="F10" s="297" t="s">
        <v>183</v>
      </c>
      <c r="G10" s="297" t="s">
        <v>84</v>
      </c>
    </row>
    <row r="11">
      <c r="A11" s="297" t="s">
        <v>185</v>
      </c>
      <c r="B11" s="297" t="s">
        <v>163</v>
      </c>
      <c r="C11" s="297" t="s">
        <v>187</v>
      </c>
      <c r="D11" s="297" t="s">
        <v>46</v>
      </c>
      <c r="E11" s="297" t="s">
        <v>167</v>
      </c>
      <c r="F11" s="297" t="s">
        <v>188</v>
      </c>
      <c r="G11" s="297" t="s">
        <v>84</v>
      </c>
    </row>
    <row r="12">
      <c r="A12" s="297" t="s">
        <v>189</v>
      </c>
      <c r="B12" s="297" t="s">
        <v>40</v>
      </c>
      <c r="C12" s="297" t="s">
        <v>75</v>
      </c>
      <c r="D12" s="297" t="s">
        <v>78</v>
      </c>
      <c r="E12" s="297" t="s">
        <v>80</v>
      </c>
      <c r="F12" s="297" t="s">
        <v>164</v>
      </c>
      <c r="G12" s="297" t="s">
        <v>84</v>
      </c>
    </row>
    <row r="13">
      <c r="A13" s="297" t="s">
        <v>190</v>
      </c>
      <c r="B13" s="297" t="s">
        <v>40</v>
      </c>
      <c r="C13" s="297" t="s">
        <v>18</v>
      </c>
      <c r="D13" s="297" t="s">
        <v>165</v>
      </c>
      <c r="E13" s="297" t="s">
        <v>191</v>
      </c>
      <c r="F13" s="297" t="s">
        <v>192</v>
      </c>
      <c r="G13" s="297" t="s">
        <v>84</v>
      </c>
    </row>
    <row r="14">
      <c r="A14" s="297" t="s">
        <v>193</v>
      </c>
      <c r="B14" s="297" t="s">
        <v>40</v>
      </c>
      <c r="C14" s="297" t="s">
        <v>32</v>
      </c>
      <c r="D14" s="297" t="s">
        <v>184</v>
      </c>
      <c r="E14" s="297" t="s">
        <v>167</v>
      </c>
      <c r="F14" s="297" t="s">
        <v>194</v>
      </c>
      <c r="G14" s="297" t="s">
        <v>84</v>
      </c>
    </row>
    <row r="15">
      <c r="A15" s="297" t="s">
        <v>195</v>
      </c>
      <c r="B15" s="297" t="s">
        <v>40</v>
      </c>
      <c r="C15" s="297" t="s">
        <v>37</v>
      </c>
      <c r="D15" s="297" t="s">
        <v>196</v>
      </c>
      <c r="E15" s="297" t="s">
        <v>197</v>
      </c>
      <c r="F15" s="297" t="s">
        <v>173</v>
      </c>
      <c r="G15" s="297" t="s">
        <v>84</v>
      </c>
    </row>
    <row r="16">
      <c r="A16" s="297" t="s">
        <v>198</v>
      </c>
      <c r="B16" s="297" t="s">
        <v>40</v>
      </c>
      <c r="C16" s="297" t="s">
        <v>49</v>
      </c>
      <c r="D16" s="297" t="s">
        <v>199</v>
      </c>
      <c r="E16" s="297" t="s">
        <v>167</v>
      </c>
      <c r="F16" s="297" t="s">
        <v>200</v>
      </c>
      <c r="G16" s="297" t="s">
        <v>84</v>
      </c>
    </row>
    <row r="17">
      <c r="A17" s="297" t="s">
        <v>201</v>
      </c>
      <c r="B17" s="297" t="s">
        <v>40</v>
      </c>
      <c r="C17" s="297" t="s">
        <v>59</v>
      </c>
      <c r="D17" s="297" t="s">
        <v>202</v>
      </c>
      <c r="E17" s="297" t="s">
        <v>167</v>
      </c>
      <c r="F17" s="297" t="s">
        <v>203</v>
      </c>
      <c r="G17" s="297" t="s">
        <v>84</v>
      </c>
    </row>
    <row r="18">
      <c r="A18" s="297" t="s">
        <v>204</v>
      </c>
      <c r="B18" s="297" t="s">
        <v>40</v>
      </c>
      <c r="C18" s="297" t="s">
        <v>205</v>
      </c>
      <c r="D18" s="297" t="s">
        <v>143</v>
      </c>
      <c r="E18" s="297" t="s">
        <v>206</v>
      </c>
      <c r="F18" s="297" t="s">
        <v>207</v>
      </c>
      <c r="G18" s="297" t="s">
        <v>84</v>
      </c>
    </row>
    <row r="19">
      <c r="A19" s="297" t="s">
        <v>209</v>
      </c>
      <c r="B19" s="297" t="s">
        <v>40</v>
      </c>
      <c r="C19" s="297" t="s">
        <v>72</v>
      </c>
      <c r="D19" s="297" t="s">
        <v>46</v>
      </c>
      <c r="E19" s="297" t="s">
        <v>167</v>
      </c>
      <c r="F19" s="297" t="s">
        <v>188</v>
      </c>
      <c r="G19" s="297" t="s">
        <v>84</v>
      </c>
    </row>
    <row r="20">
      <c r="A20" s="297" t="s">
        <v>211</v>
      </c>
      <c r="B20" s="297" t="s">
        <v>71</v>
      </c>
      <c r="C20" s="297" t="s">
        <v>75</v>
      </c>
      <c r="D20" s="297" t="s">
        <v>78</v>
      </c>
      <c r="E20" s="297" t="s">
        <v>80</v>
      </c>
      <c r="F20" s="297" t="s">
        <v>164</v>
      </c>
      <c r="G20" s="297" t="s">
        <v>84</v>
      </c>
    </row>
    <row r="21">
      <c r="A21" s="297" t="s">
        <v>215</v>
      </c>
      <c r="B21" s="297" t="s">
        <v>71</v>
      </c>
      <c r="C21" s="297" t="s">
        <v>88</v>
      </c>
      <c r="D21" s="297" t="s">
        <v>218</v>
      </c>
      <c r="E21" s="297" t="s">
        <v>191</v>
      </c>
      <c r="F21" s="297" t="s">
        <v>219</v>
      </c>
      <c r="G21" s="297" t="s">
        <v>84</v>
      </c>
    </row>
    <row r="22">
      <c r="A22" s="297" t="s">
        <v>221</v>
      </c>
      <c r="B22" s="297" t="s">
        <v>71</v>
      </c>
      <c r="C22" s="297" t="s">
        <v>100</v>
      </c>
      <c r="D22" s="297" t="s">
        <v>222</v>
      </c>
      <c r="E22" s="297" t="s">
        <v>167</v>
      </c>
      <c r="F22" s="297" t="s">
        <v>100</v>
      </c>
      <c r="G22" s="297" t="s">
        <v>84</v>
      </c>
    </row>
    <row r="23">
      <c r="A23" s="297" t="s">
        <v>223</v>
      </c>
      <c r="B23" s="297" t="s">
        <v>71</v>
      </c>
      <c r="C23" s="297" t="s">
        <v>124</v>
      </c>
      <c r="D23" s="297" t="s">
        <v>224</v>
      </c>
      <c r="E23" s="297" t="s">
        <v>167</v>
      </c>
      <c r="F23" s="297" t="s">
        <v>225</v>
      </c>
      <c r="G23" s="297" t="s">
        <v>84</v>
      </c>
    </row>
    <row r="24">
      <c r="A24" s="297" t="s">
        <v>226</v>
      </c>
      <c r="B24" s="297" t="s">
        <v>71</v>
      </c>
      <c r="C24" s="297" t="s">
        <v>62</v>
      </c>
      <c r="D24" s="297" t="s">
        <v>117</v>
      </c>
      <c r="E24" s="297" t="s">
        <v>167</v>
      </c>
      <c r="F24" s="297" t="s">
        <v>173</v>
      </c>
      <c r="G24" s="297" t="s">
        <v>84</v>
      </c>
    </row>
    <row r="25">
      <c r="A25" s="297" t="s">
        <v>228</v>
      </c>
      <c r="B25" s="297" t="s">
        <v>71</v>
      </c>
      <c r="C25" s="297" t="s">
        <v>115</v>
      </c>
      <c r="D25" s="297" t="s">
        <v>229</v>
      </c>
      <c r="E25" s="297" t="s">
        <v>167</v>
      </c>
      <c r="F25" s="297" t="s">
        <v>173</v>
      </c>
      <c r="G25" s="297" t="s">
        <v>84</v>
      </c>
    </row>
    <row r="26">
      <c r="A26" s="297" t="s">
        <v>231</v>
      </c>
      <c r="B26" s="297" t="s">
        <v>71</v>
      </c>
      <c r="C26" s="297" t="s">
        <v>232</v>
      </c>
      <c r="D26" s="297" t="s">
        <v>143</v>
      </c>
      <c r="E26" s="297" t="s">
        <v>144</v>
      </c>
      <c r="F26" s="297" t="s">
        <v>183</v>
      </c>
      <c r="G26" s="297" t="s">
        <v>84</v>
      </c>
    </row>
    <row r="27">
      <c r="A27" s="297" t="s">
        <v>234</v>
      </c>
      <c r="B27" s="297" t="s">
        <v>71</v>
      </c>
      <c r="C27" s="297" t="s">
        <v>235</v>
      </c>
      <c r="D27" s="297" t="s">
        <v>46</v>
      </c>
      <c r="E27" s="297" t="s">
        <v>167</v>
      </c>
      <c r="F27" s="297" t="s">
        <v>188</v>
      </c>
      <c r="G27" s="297" t="s">
        <v>84</v>
      </c>
    </row>
    <row r="28">
      <c r="A28" s="297" t="s">
        <v>237</v>
      </c>
      <c r="B28" s="297" t="s">
        <v>127</v>
      </c>
      <c r="C28" s="297" t="s">
        <v>75</v>
      </c>
      <c r="D28" s="297" t="s">
        <v>78</v>
      </c>
      <c r="E28" s="297" t="s">
        <v>80</v>
      </c>
      <c r="F28" s="297" t="s">
        <v>164</v>
      </c>
      <c r="G28" s="297" t="s">
        <v>84</v>
      </c>
    </row>
    <row r="29">
      <c r="A29" s="297" t="s">
        <v>238</v>
      </c>
      <c r="B29" s="297" t="s">
        <v>127</v>
      </c>
      <c r="C29" s="297" t="s">
        <v>240</v>
      </c>
      <c r="D29" s="297" t="s">
        <v>241</v>
      </c>
      <c r="E29" s="297" t="s">
        <v>191</v>
      </c>
      <c r="F29" s="297" t="s">
        <v>242</v>
      </c>
      <c r="G29" s="297" t="s">
        <v>84</v>
      </c>
    </row>
    <row r="30">
      <c r="A30" s="297" t="s">
        <v>243</v>
      </c>
      <c r="B30" s="297" t="s">
        <v>127</v>
      </c>
      <c r="C30" s="297" t="s">
        <v>128</v>
      </c>
      <c r="D30" s="297" t="s">
        <v>244</v>
      </c>
      <c r="E30" s="297" t="s">
        <v>167</v>
      </c>
      <c r="F30" s="297" t="s">
        <v>246</v>
      </c>
      <c r="G30" s="297" t="s">
        <v>84</v>
      </c>
    </row>
    <row r="31">
      <c r="A31" s="297" t="s">
        <v>247</v>
      </c>
      <c r="B31" s="297" t="s">
        <v>127</v>
      </c>
      <c r="C31" s="297" t="s">
        <v>179</v>
      </c>
      <c r="D31" s="297" t="s">
        <v>248</v>
      </c>
      <c r="E31" s="297" t="s">
        <v>167</v>
      </c>
      <c r="F31" s="297" t="s">
        <v>179</v>
      </c>
      <c r="G31" s="297" t="s">
        <v>84</v>
      </c>
    </row>
    <row r="32">
      <c r="A32" s="297" t="s">
        <v>250</v>
      </c>
      <c r="B32" s="297" t="s">
        <v>127</v>
      </c>
      <c r="C32" s="297" t="s">
        <v>251</v>
      </c>
      <c r="D32" s="297" t="s">
        <v>252</v>
      </c>
      <c r="E32" s="297" t="s">
        <v>253</v>
      </c>
      <c r="F32" s="297" t="s">
        <v>254</v>
      </c>
      <c r="G32" s="297" t="s">
        <v>84</v>
      </c>
    </row>
    <row r="33">
      <c r="A33" s="297" t="s">
        <v>255</v>
      </c>
      <c r="B33" s="297" t="s">
        <v>127</v>
      </c>
      <c r="C33" s="297" t="s">
        <v>257</v>
      </c>
      <c r="D33" s="297" t="s">
        <v>143</v>
      </c>
      <c r="E33" s="297" t="s">
        <v>144</v>
      </c>
      <c r="F33" s="297" t="s">
        <v>258</v>
      </c>
      <c r="G33" s="297" t="s">
        <v>84</v>
      </c>
    </row>
    <row r="34">
      <c r="A34" s="297" t="s">
        <v>259</v>
      </c>
      <c r="B34" s="297" t="s">
        <v>127</v>
      </c>
      <c r="C34" s="297" t="s">
        <v>261</v>
      </c>
      <c r="D34" s="297" t="s">
        <v>46</v>
      </c>
      <c r="E34" s="297" t="s">
        <v>167</v>
      </c>
      <c r="F34" s="297" t="s">
        <v>188</v>
      </c>
      <c r="G34" s="297" t="s">
        <v>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13"/>
    <col customWidth="1" min="3" max="3" width="7.13"/>
    <col customWidth="1" min="4" max="4" width="9.38"/>
    <col customWidth="1" min="5" max="5" width="10.0"/>
    <col customWidth="1" min="6" max="6" width="8.5"/>
    <col customWidth="1" min="7" max="7" width="4.63"/>
    <col customWidth="1" min="8" max="8" width="9.0"/>
    <col customWidth="1" min="9" max="9" width="7.38"/>
    <col customWidth="1" min="10" max="10" width="27.25"/>
  </cols>
  <sheetData>
    <row r="1">
      <c r="A1" s="296" t="s">
        <v>210</v>
      </c>
      <c r="B1" s="296" t="s">
        <v>20</v>
      </c>
      <c r="C1" s="296" t="s">
        <v>151</v>
      </c>
      <c r="D1" s="296" t="s">
        <v>156</v>
      </c>
      <c r="E1" s="296" t="s">
        <v>212</v>
      </c>
      <c r="F1" s="296" t="s">
        <v>213</v>
      </c>
      <c r="G1" s="296" t="s">
        <v>26</v>
      </c>
      <c r="H1" s="296" t="s">
        <v>214</v>
      </c>
      <c r="I1" s="296" t="s">
        <v>216</v>
      </c>
      <c r="J1" s="296" t="s">
        <v>217</v>
      </c>
    </row>
    <row r="2">
      <c r="A2" s="297" t="s">
        <v>220</v>
      </c>
      <c r="B2" s="303">
        <v>46303.0</v>
      </c>
      <c r="C2" s="297" t="s">
        <v>154</v>
      </c>
      <c r="D2" s="297" t="s">
        <v>166</v>
      </c>
      <c r="E2" s="304">
        <v>1.0</v>
      </c>
      <c r="F2" s="305">
        <v>40.0</v>
      </c>
      <c r="G2" s="304">
        <v>10.0</v>
      </c>
      <c r="H2" s="305">
        <v>400.0</v>
      </c>
      <c r="I2" s="305">
        <v>53.3</v>
      </c>
    </row>
    <row r="3">
      <c r="A3" s="297" t="s">
        <v>227</v>
      </c>
      <c r="B3" s="303">
        <v>46303.0</v>
      </c>
      <c r="C3" s="297" t="s">
        <v>154</v>
      </c>
      <c r="D3" s="297" t="s">
        <v>166</v>
      </c>
      <c r="E3" s="304">
        <v>2.0</v>
      </c>
      <c r="F3" s="305">
        <v>45.0</v>
      </c>
      <c r="G3" s="304">
        <v>8.0</v>
      </c>
      <c r="H3" s="305">
        <v>360.0</v>
      </c>
      <c r="I3" s="305">
        <v>57.0</v>
      </c>
    </row>
    <row r="4">
      <c r="A4" s="297" t="s">
        <v>230</v>
      </c>
      <c r="B4" s="303">
        <v>46303.0</v>
      </c>
      <c r="C4" s="297" t="s">
        <v>154</v>
      </c>
      <c r="D4" s="297" t="s">
        <v>166</v>
      </c>
      <c r="E4" s="304">
        <v>3.0</v>
      </c>
      <c r="F4" s="305">
        <v>45.0</v>
      </c>
      <c r="G4" s="304">
        <v>8.0</v>
      </c>
      <c r="H4" s="305">
        <v>360.0</v>
      </c>
      <c r="I4" s="305">
        <v>57.0</v>
      </c>
    </row>
    <row r="5">
      <c r="A5" s="297" t="s">
        <v>233</v>
      </c>
      <c r="B5" s="303">
        <v>46303.0</v>
      </c>
      <c r="C5" s="297" t="s">
        <v>154</v>
      </c>
      <c r="D5" s="297" t="s">
        <v>170</v>
      </c>
      <c r="E5" s="304">
        <v>1.0</v>
      </c>
      <c r="F5" s="305">
        <v>35.0</v>
      </c>
      <c r="G5" s="304">
        <v>12.0</v>
      </c>
      <c r="H5" s="305">
        <v>420.0</v>
      </c>
      <c r="I5" s="305">
        <v>49.0</v>
      </c>
    </row>
    <row r="6">
      <c r="A6" s="297" t="s">
        <v>236</v>
      </c>
      <c r="B6" s="303">
        <v>46303.0</v>
      </c>
      <c r="C6" s="297" t="s">
        <v>154</v>
      </c>
      <c r="D6" s="297" t="s">
        <v>170</v>
      </c>
      <c r="E6" s="304">
        <v>2.0</v>
      </c>
      <c r="F6" s="305">
        <v>40.0</v>
      </c>
      <c r="G6" s="304">
        <v>10.0</v>
      </c>
      <c r="H6" s="305">
        <v>400.0</v>
      </c>
      <c r="I6" s="305">
        <v>53.3</v>
      </c>
    </row>
    <row r="7">
      <c r="A7" s="297" t="s">
        <v>239</v>
      </c>
      <c r="B7" s="303">
        <v>46303.0</v>
      </c>
      <c r="C7" s="297" t="s">
        <v>154</v>
      </c>
      <c r="D7" s="297" t="s">
        <v>170</v>
      </c>
      <c r="E7" s="304">
        <v>3.0</v>
      </c>
      <c r="F7" s="305">
        <v>40.0</v>
      </c>
      <c r="G7" s="304">
        <v>10.0</v>
      </c>
      <c r="H7" s="305">
        <v>400.0</v>
      </c>
      <c r="I7" s="305">
        <v>53.3</v>
      </c>
    </row>
    <row r="8">
      <c r="A8" s="297" t="s">
        <v>245</v>
      </c>
      <c r="B8" s="303">
        <v>46303.0</v>
      </c>
      <c r="C8" s="297" t="s">
        <v>154</v>
      </c>
      <c r="D8" s="297" t="s">
        <v>172</v>
      </c>
      <c r="E8" s="304">
        <v>1.0</v>
      </c>
      <c r="F8" s="305">
        <v>14.0</v>
      </c>
      <c r="G8" s="304">
        <v>12.0</v>
      </c>
      <c r="H8" s="305">
        <v>168.0</v>
      </c>
      <c r="I8" s="305">
        <v>19.6</v>
      </c>
    </row>
    <row r="9">
      <c r="A9" s="297" t="s">
        <v>249</v>
      </c>
      <c r="B9" s="303">
        <v>46303.0</v>
      </c>
      <c r="C9" s="297" t="s">
        <v>154</v>
      </c>
      <c r="D9" s="297" t="s">
        <v>172</v>
      </c>
      <c r="E9" s="304">
        <v>2.0</v>
      </c>
      <c r="F9" s="305">
        <v>16.0</v>
      </c>
      <c r="G9" s="304">
        <v>10.0</v>
      </c>
      <c r="H9" s="305">
        <v>160.0</v>
      </c>
      <c r="I9" s="305">
        <v>21.3</v>
      </c>
    </row>
    <row r="10">
      <c r="A10" s="297" t="s">
        <v>256</v>
      </c>
      <c r="B10" s="303">
        <v>46303.0</v>
      </c>
      <c r="C10" s="297" t="s">
        <v>154</v>
      </c>
      <c r="D10" s="297" t="s">
        <v>174</v>
      </c>
      <c r="E10" s="304">
        <v>1.0</v>
      </c>
      <c r="F10" s="305">
        <v>10.0</v>
      </c>
      <c r="G10" s="304">
        <v>12.0</v>
      </c>
      <c r="H10" s="305">
        <v>120.0</v>
      </c>
      <c r="I10" s="305">
        <v>14.0</v>
      </c>
    </row>
    <row r="11">
      <c r="A11" s="297" t="s">
        <v>260</v>
      </c>
      <c r="B11" s="303">
        <v>46303.0</v>
      </c>
      <c r="C11" s="297" t="s">
        <v>154</v>
      </c>
      <c r="D11" s="297" t="s">
        <v>174</v>
      </c>
      <c r="E11" s="304">
        <v>2.0</v>
      </c>
      <c r="F11" s="305">
        <v>12.0</v>
      </c>
      <c r="G11" s="304">
        <v>10.0</v>
      </c>
      <c r="H11" s="305">
        <v>120.0</v>
      </c>
      <c r="I11" s="305">
        <v>16.0</v>
      </c>
    </row>
    <row r="12">
      <c r="A12" s="297" t="s">
        <v>262</v>
      </c>
      <c r="B12" s="303">
        <v>46303.0</v>
      </c>
      <c r="C12" s="297" t="s">
        <v>155</v>
      </c>
      <c r="D12" s="297" t="s">
        <v>166</v>
      </c>
      <c r="E12" s="304">
        <v>1.0</v>
      </c>
      <c r="F12" s="305">
        <v>15.0</v>
      </c>
      <c r="G12" s="304">
        <v>12.0</v>
      </c>
      <c r="H12" s="305">
        <v>180.0</v>
      </c>
      <c r="I12" s="305">
        <v>21.0</v>
      </c>
    </row>
    <row r="13">
      <c r="A13" s="297" t="s">
        <v>263</v>
      </c>
      <c r="B13" s="303">
        <v>46303.0</v>
      </c>
      <c r="C13" s="297" t="s">
        <v>155</v>
      </c>
      <c r="D13" s="297" t="s">
        <v>166</v>
      </c>
      <c r="E13" s="304">
        <v>2.0</v>
      </c>
      <c r="F13" s="305">
        <v>17.5</v>
      </c>
      <c r="G13" s="304">
        <v>10.0</v>
      </c>
      <c r="H13" s="305">
        <v>175.0</v>
      </c>
      <c r="I13" s="305">
        <v>23.3</v>
      </c>
    </row>
    <row r="14">
      <c r="A14" s="297" t="s">
        <v>264</v>
      </c>
      <c r="B14" s="303">
        <v>46303.0</v>
      </c>
      <c r="C14" s="297" t="s">
        <v>155</v>
      </c>
      <c r="D14" s="297" t="s">
        <v>166</v>
      </c>
      <c r="E14" s="304">
        <v>3.0</v>
      </c>
      <c r="F14" s="305">
        <v>20.0</v>
      </c>
      <c r="G14" s="304">
        <v>10.0</v>
      </c>
      <c r="H14" s="305">
        <v>200.0</v>
      </c>
      <c r="I14" s="305">
        <v>26.7</v>
      </c>
    </row>
    <row r="15">
      <c r="A15" s="297" t="s">
        <v>266</v>
      </c>
      <c r="B15" s="303">
        <v>46303.0</v>
      </c>
      <c r="C15" s="297" t="s">
        <v>154</v>
      </c>
      <c r="D15" s="297" t="s">
        <v>201</v>
      </c>
      <c r="E15" s="304">
        <v>1.0</v>
      </c>
      <c r="F15" s="305">
        <v>25.0</v>
      </c>
      <c r="G15" s="304">
        <v>12.0</v>
      </c>
      <c r="H15" s="305">
        <v>300.0</v>
      </c>
      <c r="I15" s="305">
        <v>35.0</v>
      </c>
    </row>
    <row r="16">
      <c r="A16" s="297" t="s">
        <v>267</v>
      </c>
      <c r="B16" s="303">
        <v>46303.0</v>
      </c>
      <c r="C16" s="297" t="s">
        <v>154</v>
      </c>
      <c r="D16" s="297" t="s">
        <v>201</v>
      </c>
      <c r="E16" s="304">
        <v>2.0</v>
      </c>
      <c r="F16" s="305">
        <v>30.0</v>
      </c>
      <c r="G16" s="304">
        <v>12.0</v>
      </c>
      <c r="H16" s="305">
        <v>360.0</v>
      </c>
      <c r="I16" s="305">
        <v>42.0</v>
      </c>
    </row>
    <row r="17">
      <c r="A17" s="297" t="s">
        <v>268</v>
      </c>
      <c r="B17" s="303">
        <v>46303.0</v>
      </c>
      <c r="C17" s="297" t="s">
        <v>154</v>
      </c>
      <c r="D17" s="297" t="s">
        <v>201</v>
      </c>
      <c r="E17" s="304">
        <v>3.0</v>
      </c>
      <c r="F17" s="305">
        <v>30.0</v>
      </c>
      <c r="G17" s="304">
        <v>12.0</v>
      </c>
      <c r="H17" s="305">
        <v>360.0</v>
      </c>
      <c r="I17" s="305">
        <v>42.0</v>
      </c>
    </row>
    <row r="18">
      <c r="A18" s="297" t="s">
        <v>269</v>
      </c>
      <c r="B18" s="303">
        <v>46303.0</v>
      </c>
      <c r="C18" s="297" t="s">
        <v>154</v>
      </c>
      <c r="D18" s="297" t="s">
        <v>201</v>
      </c>
      <c r="E18" s="304">
        <v>1.0</v>
      </c>
      <c r="F18" s="305">
        <v>25.0</v>
      </c>
      <c r="G18" s="304">
        <v>12.0</v>
      </c>
      <c r="H18" s="305">
        <v>300.0</v>
      </c>
      <c r="I18" s="305">
        <v>35.0</v>
      </c>
    </row>
    <row r="19">
      <c r="A19" s="297" t="s">
        <v>271</v>
      </c>
      <c r="B19" s="303">
        <v>46303.0</v>
      </c>
      <c r="C19" s="297" t="s">
        <v>154</v>
      </c>
      <c r="D19" s="297" t="s">
        <v>201</v>
      </c>
      <c r="E19" s="304">
        <v>2.0</v>
      </c>
      <c r="F19" s="305">
        <v>30.0</v>
      </c>
      <c r="G19" s="304">
        <v>12.0</v>
      </c>
      <c r="H19" s="305">
        <v>360.0</v>
      </c>
      <c r="I19" s="305">
        <v>42.0</v>
      </c>
    </row>
    <row r="20">
      <c r="A20" s="297" t="s">
        <v>272</v>
      </c>
      <c r="B20" s="303">
        <v>46303.0</v>
      </c>
      <c r="C20" s="297" t="s">
        <v>154</v>
      </c>
      <c r="D20" s="297" t="s">
        <v>201</v>
      </c>
      <c r="E20" s="304">
        <v>3.0</v>
      </c>
      <c r="F20" s="305">
        <v>30.0</v>
      </c>
      <c r="G20" s="304">
        <v>12.0</v>
      </c>
      <c r="H20" s="305">
        <v>360.0</v>
      </c>
      <c r="I20" s="305">
        <v>42.0</v>
      </c>
    </row>
    <row r="21">
      <c r="A21" s="297" t="s">
        <v>273</v>
      </c>
      <c r="B21" s="303">
        <v>46303.0</v>
      </c>
      <c r="C21" s="297" t="s">
        <v>154</v>
      </c>
      <c r="D21" s="297" t="s">
        <v>215</v>
      </c>
      <c r="E21" s="304">
        <v>1.0</v>
      </c>
      <c r="F21" s="305">
        <v>25.0</v>
      </c>
      <c r="G21" s="304">
        <v>10.0</v>
      </c>
      <c r="H21" s="305">
        <v>250.0</v>
      </c>
      <c r="I21" s="305">
        <v>33.3</v>
      </c>
    </row>
    <row r="22">
      <c r="A22" s="297" t="s">
        <v>274</v>
      </c>
      <c r="B22" s="303">
        <v>46303.0</v>
      </c>
      <c r="C22" s="297" t="s">
        <v>154</v>
      </c>
      <c r="D22" s="297" t="s">
        <v>215</v>
      </c>
      <c r="E22" s="304">
        <v>2.0</v>
      </c>
      <c r="F22" s="305">
        <v>30.0</v>
      </c>
      <c r="G22" s="304">
        <v>10.0</v>
      </c>
      <c r="H22" s="305">
        <v>300.0</v>
      </c>
      <c r="I22" s="305">
        <v>40.0</v>
      </c>
    </row>
    <row r="23">
      <c r="A23" s="297" t="s">
        <v>275</v>
      </c>
      <c r="B23" s="303">
        <v>46303.0</v>
      </c>
      <c r="C23" s="297" t="s">
        <v>154</v>
      </c>
      <c r="D23" s="297" t="s">
        <v>215</v>
      </c>
      <c r="E23" s="304">
        <v>3.0</v>
      </c>
      <c r="F23" s="305">
        <v>30.0</v>
      </c>
      <c r="G23" s="304">
        <v>10.0</v>
      </c>
      <c r="H23" s="305">
        <v>300.0</v>
      </c>
      <c r="I23" s="305">
        <v>40.0</v>
      </c>
    </row>
    <row r="24">
      <c r="A24" s="297" t="s">
        <v>276</v>
      </c>
      <c r="B24" s="303">
        <v>46303.0</v>
      </c>
      <c r="C24" s="297" t="s">
        <v>154</v>
      </c>
      <c r="D24" s="297" t="s">
        <v>215</v>
      </c>
      <c r="E24" s="304">
        <v>4.0</v>
      </c>
      <c r="F24" s="305">
        <v>30.0</v>
      </c>
      <c r="G24" s="304">
        <v>10.0</v>
      </c>
      <c r="H24" s="305">
        <v>300.0</v>
      </c>
      <c r="I24" s="305">
        <v>40.0</v>
      </c>
    </row>
    <row r="25">
      <c r="A25" s="297" t="s">
        <v>277</v>
      </c>
      <c r="B25" s="303">
        <v>46303.0</v>
      </c>
      <c r="C25" s="297" t="s">
        <v>155</v>
      </c>
      <c r="D25" s="297" t="s">
        <v>215</v>
      </c>
      <c r="E25" s="304">
        <v>1.0</v>
      </c>
      <c r="F25" s="305">
        <v>10.0</v>
      </c>
      <c r="G25" s="304">
        <v>10.0</v>
      </c>
      <c r="H25" s="305">
        <v>100.0</v>
      </c>
      <c r="I25" s="305">
        <v>13.3</v>
      </c>
    </row>
    <row r="26">
      <c r="A26" s="297" t="s">
        <v>279</v>
      </c>
      <c r="B26" s="303">
        <v>46303.0</v>
      </c>
      <c r="C26" s="297" t="s">
        <v>155</v>
      </c>
      <c r="D26" s="297" t="s">
        <v>215</v>
      </c>
      <c r="E26" s="304">
        <v>2.0</v>
      </c>
      <c r="F26" s="305">
        <v>10.0</v>
      </c>
      <c r="G26" s="304">
        <v>10.0</v>
      </c>
      <c r="H26" s="305">
        <v>100.0</v>
      </c>
      <c r="I26" s="305">
        <v>13.3</v>
      </c>
    </row>
    <row r="27">
      <c r="A27" s="297" t="s">
        <v>280</v>
      </c>
      <c r="B27" s="303">
        <v>46303.0</v>
      </c>
      <c r="C27" s="297" t="s">
        <v>155</v>
      </c>
      <c r="D27" s="297" t="s">
        <v>215</v>
      </c>
      <c r="E27" s="304">
        <v>3.0</v>
      </c>
      <c r="F27" s="305">
        <v>10.0</v>
      </c>
      <c r="G27" s="304">
        <v>10.0</v>
      </c>
      <c r="H27" s="305">
        <v>100.0</v>
      </c>
      <c r="I27" s="305">
        <v>13.3</v>
      </c>
    </row>
    <row r="28">
      <c r="A28" s="297" t="s">
        <v>281</v>
      </c>
      <c r="B28" s="303">
        <v>46303.0</v>
      </c>
      <c r="C28" s="297" t="s">
        <v>155</v>
      </c>
      <c r="D28" s="297" t="s">
        <v>215</v>
      </c>
      <c r="E28" s="304">
        <v>4.0</v>
      </c>
      <c r="F28" s="305">
        <v>10.0</v>
      </c>
      <c r="G28" s="304">
        <v>10.0</v>
      </c>
      <c r="H28" s="305">
        <v>100.0</v>
      </c>
      <c r="I28" s="305">
        <v>13.3</v>
      </c>
    </row>
    <row r="29">
      <c r="A29" s="297" t="s">
        <v>282</v>
      </c>
      <c r="B29" s="303">
        <v>46303.0</v>
      </c>
      <c r="C29" s="297" t="s">
        <v>154</v>
      </c>
      <c r="D29" s="297" t="s">
        <v>221</v>
      </c>
      <c r="E29" s="304">
        <v>1.0</v>
      </c>
      <c r="F29" s="305">
        <v>25.0</v>
      </c>
      <c r="G29" s="304">
        <v>12.0</v>
      </c>
      <c r="H29" s="305">
        <v>300.0</v>
      </c>
      <c r="I29" s="305">
        <v>35.0</v>
      </c>
    </row>
    <row r="30">
      <c r="A30" s="297" t="s">
        <v>283</v>
      </c>
      <c r="B30" s="303">
        <v>46303.0</v>
      </c>
      <c r="C30" s="297" t="s">
        <v>154</v>
      </c>
      <c r="D30" s="297" t="s">
        <v>221</v>
      </c>
      <c r="E30" s="304">
        <v>2.0</v>
      </c>
      <c r="F30" s="305">
        <v>25.0</v>
      </c>
      <c r="G30" s="304">
        <v>12.0</v>
      </c>
      <c r="H30" s="305">
        <v>300.0</v>
      </c>
      <c r="I30" s="305">
        <v>35.0</v>
      </c>
    </row>
    <row r="31">
      <c r="A31" s="297" t="s">
        <v>284</v>
      </c>
      <c r="B31" s="303">
        <v>46303.0</v>
      </c>
      <c r="C31" s="297" t="s">
        <v>154</v>
      </c>
      <c r="D31" s="297" t="s">
        <v>221</v>
      </c>
      <c r="E31" s="304">
        <v>3.0</v>
      </c>
      <c r="F31" s="305">
        <v>25.0</v>
      </c>
      <c r="G31" s="304">
        <v>15.0</v>
      </c>
      <c r="H31" s="305">
        <v>375.0</v>
      </c>
      <c r="I31" s="305">
        <v>37.5</v>
      </c>
    </row>
    <row r="32">
      <c r="A32" s="297" t="s">
        <v>285</v>
      </c>
      <c r="B32" s="303">
        <v>46303.0</v>
      </c>
      <c r="C32" s="297" t="s">
        <v>155</v>
      </c>
      <c r="D32" s="297" t="s">
        <v>221</v>
      </c>
      <c r="E32" s="304">
        <v>1.0</v>
      </c>
      <c r="F32" s="305">
        <v>10.0</v>
      </c>
      <c r="G32" s="304">
        <v>12.0</v>
      </c>
      <c r="H32" s="305">
        <v>120.0</v>
      </c>
      <c r="I32" s="305">
        <v>14.0</v>
      </c>
    </row>
    <row r="33">
      <c r="A33" s="297" t="s">
        <v>286</v>
      </c>
      <c r="B33" s="303">
        <v>46303.0</v>
      </c>
      <c r="C33" s="297" t="s">
        <v>155</v>
      </c>
      <c r="D33" s="297" t="s">
        <v>221</v>
      </c>
      <c r="E33" s="304">
        <v>2.0</v>
      </c>
      <c r="F33" s="305">
        <v>10.0</v>
      </c>
      <c r="G33" s="304">
        <v>12.0</v>
      </c>
      <c r="H33" s="305">
        <v>120.0</v>
      </c>
      <c r="I33" s="305">
        <v>14.0</v>
      </c>
    </row>
    <row r="34">
      <c r="A34" s="297" t="s">
        <v>287</v>
      </c>
      <c r="B34" s="303">
        <v>46303.0</v>
      </c>
      <c r="C34" s="297" t="s">
        <v>155</v>
      </c>
      <c r="D34" s="297" t="s">
        <v>221</v>
      </c>
      <c r="E34" s="304">
        <v>3.0</v>
      </c>
      <c r="F34" s="305">
        <v>10.0</v>
      </c>
      <c r="G34" s="304">
        <v>15.0</v>
      </c>
      <c r="H34" s="305">
        <v>150.0</v>
      </c>
      <c r="I34" s="305">
        <v>15.0</v>
      </c>
    </row>
    <row r="35">
      <c r="A35" s="297" t="s">
        <v>288</v>
      </c>
      <c r="B35" s="303">
        <v>46303.0</v>
      </c>
      <c r="C35" s="297" t="s">
        <v>155</v>
      </c>
      <c r="D35" s="297" t="s">
        <v>226</v>
      </c>
      <c r="E35" s="304">
        <v>1.0</v>
      </c>
      <c r="F35" s="305">
        <v>2.5</v>
      </c>
      <c r="G35" s="304">
        <v>12.0</v>
      </c>
      <c r="H35" s="305">
        <v>30.0</v>
      </c>
      <c r="I35" s="305">
        <v>3.5</v>
      </c>
    </row>
    <row r="36">
      <c r="A36" s="297" t="s">
        <v>289</v>
      </c>
      <c r="B36" s="303">
        <v>46303.0</v>
      </c>
      <c r="C36" s="297" t="s">
        <v>155</v>
      </c>
      <c r="D36" s="297" t="s">
        <v>226</v>
      </c>
      <c r="E36" s="304">
        <v>2.0</v>
      </c>
      <c r="F36" s="305">
        <v>2.5</v>
      </c>
      <c r="G36" s="304">
        <v>12.0</v>
      </c>
      <c r="H36" s="305">
        <v>30.0</v>
      </c>
      <c r="I36" s="305">
        <v>3.5</v>
      </c>
    </row>
    <row r="37">
      <c r="A37" s="297" t="s">
        <v>290</v>
      </c>
      <c r="B37" s="303">
        <v>46303.0</v>
      </c>
      <c r="C37" s="297" t="s">
        <v>155</v>
      </c>
      <c r="D37" s="297" t="s">
        <v>226</v>
      </c>
      <c r="E37" s="304">
        <v>3.0</v>
      </c>
      <c r="F37" s="305">
        <v>2.5</v>
      </c>
      <c r="G37" s="304">
        <v>12.0</v>
      </c>
      <c r="H37" s="305">
        <v>37.5</v>
      </c>
      <c r="I37" s="305">
        <v>3.5</v>
      </c>
    </row>
    <row r="38">
      <c r="A38" s="297" t="s">
        <v>291</v>
      </c>
      <c r="B38" s="303">
        <v>46303.0</v>
      </c>
      <c r="C38" s="297" t="s">
        <v>154</v>
      </c>
      <c r="D38" s="297" t="s">
        <v>226</v>
      </c>
      <c r="E38" s="304">
        <v>1.0</v>
      </c>
      <c r="F38" s="305">
        <v>5.0</v>
      </c>
      <c r="G38" s="304">
        <v>12.0</v>
      </c>
      <c r="H38" s="305">
        <v>60.0</v>
      </c>
      <c r="I38" s="305">
        <v>7.0</v>
      </c>
    </row>
    <row r="39">
      <c r="A39" s="297" t="s">
        <v>292</v>
      </c>
      <c r="B39" s="303">
        <v>46303.0</v>
      </c>
      <c r="C39" s="297" t="s">
        <v>154</v>
      </c>
      <c r="D39" s="297" t="s">
        <v>226</v>
      </c>
      <c r="E39" s="304">
        <v>2.0</v>
      </c>
      <c r="F39" s="305">
        <v>5.0</v>
      </c>
      <c r="G39" s="304">
        <v>12.0</v>
      </c>
      <c r="H39" s="305">
        <v>60.0</v>
      </c>
      <c r="I39" s="305">
        <v>7.0</v>
      </c>
    </row>
    <row r="40">
      <c r="A40" s="297" t="s">
        <v>293</v>
      </c>
      <c r="B40" s="303">
        <v>46303.0</v>
      </c>
      <c r="C40" s="297" t="s">
        <v>154</v>
      </c>
      <c r="D40" s="297" t="s">
        <v>226</v>
      </c>
      <c r="E40" s="304">
        <v>3.0</v>
      </c>
      <c r="F40" s="305">
        <v>5.0</v>
      </c>
      <c r="G40" s="304">
        <v>12.0</v>
      </c>
      <c r="H40" s="305">
        <v>60.0</v>
      </c>
      <c r="I40" s="305">
        <v>7.0</v>
      </c>
    </row>
    <row r="41">
      <c r="A41" s="297" t="s">
        <v>294</v>
      </c>
      <c r="B41" s="303">
        <v>46303.0</v>
      </c>
      <c r="C41" s="297" t="s">
        <v>154</v>
      </c>
      <c r="D41" s="297" t="s">
        <v>228</v>
      </c>
      <c r="E41" s="304">
        <v>1.0</v>
      </c>
      <c r="F41" s="305">
        <v>5.0</v>
      </c>
      <c r="G41" s="304">
        <v>12.0</v>
      </c>
      <c r="H41" s="305">
        <v>60.0</v>
      </c>
      <c r="I41" s="305">
        <v>7.0</v>
      </c>
    </row>
    <row r="42">
      <c r="A42" s="297" t="s">
        <v>295</v>
      </c>
      <c r="B42" s="303">
        <v>46303.0</v>
      </c>
      <c r="C42" s="297" t="s">
        <v>154</v>
      </c>
      <c r="D42" s="297" t="s">
        <v>228</v>
      </c>
      <c r="E42" s="304">
        <v>2.0</v>
      </c>
      <c r="F42" s="305">
        <v>5.0</v>
      </c>
      <c r="G42" s="304">
        <v>12.0</v>
      </c>
      <c r="H42" s="305">
        <v>60.0</v>
      </c>
      <c r="I42" s="305">
        <v>7.0</v>
      </c>
    </row>
    <row r="43">
      <c r="A43" s="297" t="s">
        <v>296</v>
      </c>
      <c r="B43" s="303">
        <v>46303.0</v>
      </c>
      <c r="C43" s="297" t="s">
        <v>154</v>
      </c>
      <c r="D43" s="297" t="s">
        <v>228</v>
      </c>
      <c r="E43" s="304">
        <v>3.0</v>
      </c>
      <c r="F43" s="305">
        <v>5.0</v>
      </c>
      <c r="G43" s="304">
        <v>12.0</v>
      </c>
      <c r="H43" s="305">
        <v>60.0</v>
      </c>
      <c r="I43" s="305">
        <v>7.0</v>
      </c>
    </row>
    <row r="44">
      <c r="A44" s="297" t="s">
        <v>297</v>
      </c>
      <c r="B44" s="303">
        <v>46303.0</v>
      </c>
      <c r="C44" s="297" t="s">
        <v>155</v>
      </c>
      <c r="D44" s="297" t="s">
        <v>228</v>
      </c>
      <c r="E44" s="304">
        <v>1.0</v>
      </c>
      <c r="F44" s="305">
        <v>2.5</v>
      </c>
      <c r="G44" s="304">
        <v>12.0</v>
      </c>
      <c r="H44" s="305">
        <v>30.0</v>
      </c>
      <c r="I44" s="305">
        <v>3.5</v>
      </c>
      <c r="J44" s="297" t="s">
        <v>65</v>
      </c>
    </row>
    <row r="45">
      <c r="A45" s="297" t="s">
        <v>298</v>
      </c>
      <c r="B45" s="303">
        <v>46303.0</v>
      </c>
      <c r="C45" s="297" t="s">
        <v>155</v>
      </c>
      <c r="D45" s="297" t="s">
        <v>228</v>
      </c>
      <c r="E45" s="304">
        <v>2.0</v>
      </c>
      <c r="F45" s="305">
        <v>2.5</v>
      </c>
      <c r="G45" s="304">
        <v>12.0</v>
      </c>
      <c r="H45" s="305">
        <v>30.0</v>
      </c>
      <c r="I45" s="305">
        <v>3.5</v>
      </c>
      <c r="J45" s="297" t="s">
        <v>65</v>
      </c>
    </row>
    <row r="46">
      <c r="A46" s="297" t="s">
        <v>299</v>
      </c>
      <c r="B46" s="303">
        <v>46303.0</v>
      </c>
      <c r="C46" s="297" t="s">
        <v>155</v>
      </c>
      <c r="D46" s="297" t="s">
        <v>228</v>
      </c>
      <c r="E46" s="304">
        <v>3.0</v>
      </c>
      <c r="F46" s="305">
        <v>2.5</v>
      </c>
      <c r="G46" s="304">
        <v>12.0</v>
      </c>
      <c r="H46" s="305">
        <v>30.0</v>
      </c>
      <c r="I46" s="305">
        <v>3.5</v>
      </c>
      <c r="J46" s="297" t="s">
        <v>65</v>
      </c>
    </row>
    <row r="47">
      <c r="A47" s="297" t="s">
        <v>300</v>
      </c>
      <c r="B47" s="303">
        <v>46303.0</v>
      </c>
      <c r="C47" s="297" t="s">
        <v>154</v>
      </c>
      <c r="D47" s="297" t="s">
        <v>223</v>
      </c>
      <c r="E47" s="304">
        <v>1.0</v>
      </c>
      <c r="F47" s="305">
        <v>20.0</v>
      </c>
      <c r="G47" s="304">
        <v>12.0</v>
      </c>
      <c r="H47" s="305">
        <v>240.0</v>
      </c>
      <c r="I47" s="305">
        <v>28.0</v>
      </c>
      <c r="J47" s="297" t="s">
        <v>67</v>
      </c>
    </row>
    <row r="48">
      <c r="A48" s="297" t="s">
        <v>301</v>
      </c>
      <c r="B48" s="303">
        <v>46303.0</v>
      </c>
      <c r="C48" s="297" t="s">
        <v>154</v>
      </c>
      <c r="D48" s="297" t="s">
        <v>223</v>
      </c>
      <c r="E48" s="304">
        <v>2.0</v>
      </c>
      <c r="F48" s="305">
        <v>20.0</v>
      </c>
      <c r="G48" s="304">
        <v>12.0</v>
      </c>
      <c r="H48" s="305">
        <v>240.0</v>
      </c>
      <c r="I48" s="305">
        <v>28.0</v>
      </c>
      <c r="J48" s="297" t="s">
        <v>67</v>
      </c>
    </row>
    <row r="49">
      <c r="A49" s="297" t="s">
        <v>302</v>
      </c>
      <c r="B49" s="303">
        <v>46303.0</v>
      </c>
      <c r="C49" s="297" t="s">
        <v>154</v>
      </c>
      <c r="D49" s="297" t="s">
        <v>223</v>
      </c>
      <c r="E49" s="304">
        <v>3.0</v>
      </c>
      <c r="F49" s="305">
        <v>20.0</v>
      </c>
      <c r="G49" s="304">
        <v>12.0</v>
      </c>
      <c r="H49" s="305">
        <v>240.0</v>
      </c>
      <c r="I49" s="305">
        <v>28.0</v>
      </c>
      <c r="J49" s="297" t="s">
        <v>67</v>
      </c>
    </row>
  </sheetData>
  <drawing r:id="rId1"/>
</worksheet>
</file>